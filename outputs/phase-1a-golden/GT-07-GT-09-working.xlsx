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KAP" state="visible" r:id="rId4"/>
    <sheet sheetId="2" name="RAB" state="visible" r:id="rId5"/>
    <sheet sheetId="3" name="BV" state="visible" r:id="rId6"/>
    <sheet sheetId="4" name="ANALISA HSP" state="visible" r:id="rId7"/>
    <sheet sheetId="5" name="HARGA DASAR" state="visible" r:id="rId8"/>
    <sheet sheetId="6" name="PROJECT" state="veryHidden" r:id="rId9"/>
    <sheet sheetId="7" name="AHSP_COMPONENTS" state="veryHidden" r:id="rId10"/>
    <sheet sheetId="8" name="HSP_MAPPING" state="veryHidden" r:id="rId11"/>
    <sheet sheetId="9" name="CHECKS" state="veryHidden" r:id="rId12"/>
  </sheets>
  <definedNames>
    <definedName name="P_OH_RATE">PROJECT!$B$7</definedName>
    <definedName name="P_PPN_RATE">PROJECT!$B$8</definedName>
    <definedName name="P_ROUND_UNIT">PROJECT!$B$9</definedName>
    <definedName name="_xlnm.Print_Area" localSheetId="0">'REKAP'!$A1:$F14</definedName>
    <definedName name="_xlnm.Print_Area" localSheetId="1">'RAB'!$A1:$G10</definedName>
    <definedName name="_xlnm.Print_Area" localSheetId="2">'BV'!$A1:$L16</definedName>
    <definedName name="_xlnm.Print_Area" localSheetId="3">'ANALISA HSP'!$A1:$G15</definedName>
    <definedName name="_xlnm.Print_Area" localSheetId="4">'HARGA DASAR'!$A1:$G10</definedName>
  </definedNames>
  <calcPr calcId="171027" fullCalcOnLoad="1"/>
</workbook>
</file>

<file path=xl/sharedStrings.xml><?xml version="1.0" encoding="utf-8"?>
<sst xmlns="http://schemas.openxmlformats.org/spreadsheetml/2006/main" count="329" uniqueCount="148">
  <si>
    <t>REKAPITULASI ANGGARAN</t>
  </si>
  <si>
    <t>Kegiatan</t>
  </si>
  <si>
    <t>: Golden Output Validation</t>
  </si>
  <si>
    <t>NOT OFFICIAL</t>
  </si>
  <si>
    <t>Pekerjaan</t>
  </si>
  <si>
    <t>: Golden RAB GT-07 GT-09</t>
  </si>
  <si>
    <t>Status</t>
  </si>
  <si>
    <t>: DRAFT</t>
  </si>
  <si>
    <t>NO.</t>
  </si>
  <si>
    <t>URAIAN PEKERJAAN</t>
  </si>
  <si>
    <t>JUMLAH HARGA (Rp.)</t>
  </si>
  <si>
    <t>I</t>
  </si>
  <si>
    <t>PEKERJAAN</t>
  </si>
  <si>
    <t>JUMLAH SELURUH PEKERJAAN</t>
  </si>
  <si>
    <t>PPN 11%</t>
  </si>
  <si>
    <t>JUMLAH SELURUH PEKERJAAN + PPN</t>
  </si>
  <si>
    <t>PEMBULATAN</t>
  </si>
  <si>
    <t>SELISIH PEMBULATAN</t>
  </si>
  <si>
    <t>RENCANA ANGGARAN BIAYA (RAB)</t>
  </si>
  <si>
    <t>KODE</t>
  </si>
  <si>
    <t>SAT.</t>
  </si>
  <si>
    <t>VOLUME</t>
  </si>
  <si>
    <t>HARGA SAT. (Rp.)</t>
  </si>
  <si>
    <t>-</t>
  </si>
  <si>
    <t>Pekerjaan tanah — GT-09</t>
  </si>
  <si>
    <t>m3</t>
  </si>
  <si>
    <t>BACKUP VOLUME</t>
  </si>
  <si>
    <t>URAIAN KEGIATAN</t>
  </si>
  <si>
    <t>PANJANG</t>
  </si>
  <si>
    <t>LEBAR</t>
  </si>
  <si>
    <t>TINGGI</t>
  </si>
  <si>
    <t>TITIK</t>
  </si>
  <si>
    <t>JUMLAH</t>
  </si>
  <si>
    <t>KOEF.</t>
  </si>
  <si>
    <t>LUAS</t>
  </si>
  <si>
    <t>KETERANGAN</t>
  </si>
  <si>
    <t>GT-09 child 1</t>
  </si>
  <si>
    <t>–</t>
  </si>
  <si>
    <t>1.296</t>
  </si>
  <si>
    <t>GT-09 child 2</t>
  </si>
  <si>
    <t>6.48</t>
  </si>
  <si>
    <t>GT-09 child 3</t>
  </si>
  <si>
    <t>23.328</t>
  </si>
  <si>
    <t>GT-09 child 4</t>
  </si>
  <si>
    <t>18.144</t>
  </si>
  <si>
    <t>GT-09 child 5</t>
  </si>
  <si>
    <t>3.7845</t>
  </si>
  <si>
    <t>GT-09 child 6</t>
  </si>
  <si>
    <t>GT-09 child 7</t>
  </si>
  <si>
    <t>20.025</t>
  </si>
  <si>
    <t>GT-09 summed volume</t>
  </si>
  <si>
    <t>SUM of GT-09 child volumes</t>
  </si>
  <si>
    <t>ANALISA HARGA SATUAN PEKERJAAN</t>
  </si>
  <si>
    <t>1.2.1.1.1 — Pekerjaan tanah</t>
  </si>
  <si>
    <t>KELOMPOK</t>
  </si>
  <si>
    <t>URAIAN SUMBER DAYA</t>
  </si>
  <si>
    <t>KOEFISIEN</t>
  </si>
  <si>
    <t>HARGA DASAR (Rp.)</t>
  </si>
  <si>
    <t>JUMLAH (Rp.)</t>
  </si>
  <si>
    <t>TENAGA</t>
  </si>
  <si>
    <t>Pekerja</t>
  </si>
  <si>
    <t>OH</t>
  </si>
  <si>
    <t>Mandor</t>
  </si>
  <si>
    <t>JUMLAH BIAYA LANGSUNG</t>
  </si>
  <si>
    <t>OVERHEAD &amp; PROFIT (10%)</t>
  </si>
  <si>
    <t>HARGA SATUAN PEKERJAAN</t>
  </si>
  <si>
    <t>DAFTAR HARGA DASAR</t>
  </si>
  <si>
    <t>STATUS</t>
  </si>
  <si>
    <t>TERSEDIA</t>
  </si>
  <si>
    <t>field</t>
  </si>
  <si>
    <t>value</t>
  </si>
  <si>
    <t>project_id</t>
  </si>
  <si>
    <t>golden-project-gt07-gt09</t>
  </si>
  <si>
    <t>rab_version_id</t>
  </si>
  <si>
    <t>golden-rab-v1</t>
  </si>
  <si>
    <t>snapshot_id</t>
  </si>
  <si>
    <t>golden-snapshot-gt07-gt09-v1</t>
  </si>
  <si>
    <t>project_name</t>
  </si>
  <si>
    <t>Golden Output Validation</t>
  </si>
  <si>
    <t>status</t>
  </si>
  <si>
    <t>DRAFT</t>
  </si>
  <si>
    <t>oh_profit_rate</t>
  </si>
  <si>
    <t>ppn_rate</t>
  </si>
  <si>
    <t>rounding_unit</t>
  </si>
  <si>
    <t>rounding_method</t>
  </si>
  <si>
    <t>HALF_UP</t>
  </si>
  <si>
    <t>generated_at</t>
  </si>
  <si>
    <t>2026-08-31T00:00:00.000Z</t>
  </si>
  <si>
    <t>bv_id</t>
  </si>
  <si>
    <t>bv_line_id</t>
  </si>
  <si>
    <t>parent_bv_line_id</t>
  </si>
  <si>
    <t>ref_bv_line_id</t>
  </si>
  <si>
    <t>rab_item_id</t>
  </si>
  <si>
    <t>template_key</t>
  </si>
  <si>
    <t>template_version</t>
  </si>
  <si>
    <t>provenance</t>
  </si>
  <si>
    <t>gt09-bv</t>
  </si>
  <si>
    <t>gt09-child-1</t>
  </si>
  <si>
    <t>gt09-result</t>
  </si>
  <si>
    <t/>
  </si>
  <si>
    <t>gt09-item-1</t>
  </si>
  <si>
    <t>SCALAR_VALUE</t>
  </si>
  <si>
    <t>1</t>
  </si>
  <si>
    <t>golden-reference</t>
  </si>
  <si>
    <t>gt09-child-2</t>
  </si>
  <si>
    <t>gt09-child-3</t>
  </si>
  <si>
    <t>gt09-child-4</t>
  </si>
  <si>
    <t>gt09-child-5</t>
  </si>
  <si>
    <t>gt09-child-6</t>
  </si>
  <si>
    <t>gt09-child-7</t>
  </si>
  <si>
    <t>SUM_CHILDREN</t>
  </si>
  <si>
    <t>ahsp_component_id</t>
  </si>
  <si>
    <t>ahsp_id</t>
  </si>
  <si>
    <t>hsp_id</t>
  </si>
  <si>
    <t>resource_id</t>
  </si>
  <si>
    <t>component_group</t>
  </si>
  <si>
    <t>source_order</t>
  </si>
  <si>
    <t>coefficient</t>
  </si>
  <si>
    <t>price_value</t>
  </si>
  <si>
    <t>component_cost</t>
  </si>
  <si>
    <t>source_locator</t>
  </si>
  <si>
    <t>gt07-comp-1</t>
  </si>
  <si>
    <t>gt07-ahsp</t>
  </si>
  <si>
    <t>gt07-hsp</t>
  </si>
  <si>
    <t>gt07-resource-1</t>
  </si>
  <si>
    <t>Masterfile AHSP CK.xlsx / AHSP!C626:I638</t>
  </si>
  <si>
    <t>gt07-comp-2</t>
  </si>
  <si>
    <t>gt07-resource-2</t>
  </si>
  <si>
    <t>display_order</t>
  </si>
  <si>
    <t>item_id</t>
  </si>
  <si>
    <t>group_id</t>
  </si>
  <si>
    <t>group_name</t>
  </si>
  <si>
    <t>subgroup_id</t>
  </si>
  <si>
    <t>subgroup_name</t>
  </si>
  <si>
    <t>volume</t>
  </si>
  <si>
    <t>hsp_value</t>
  </si>
  <si>
    <t>item_amount</t>
  </si>
  <si>
    <t>GROUP-1</t>
  </si>
  <si>
    <t>check_id</t>
  </si>
  <si>
    <t>result</t>
  </si>
  <si>
    <t>message</t>
  </si>
  <si>
    <t>C-EXT-001</t>
  </si>
  <si>
    <t>PASS</t>
  </si>
  <si>
    <t>No external workbook links</t>
  </si>
  <si>
    <t>C-FORM-001</t>
  </si>
  <si>
    <t>Critical values retain active formulas</t>
  </si>
  <si>
    <t>C-PRES-001</t>
  </si>
  <si>
    <t>Technical identifiers are confined to hidden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</si>
</sst>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5" x14ac:knownFonts="1">
    <font>
      <color theme="1"/>
      <family val="2"/>
      <scheme val="minor"/>
      <sz val="11"/>
      <name val="Calibri"/>
    </font>
    <font>
      <b/>
      <sz val="15"/>
      <name val="Arial"/>
    </font>
    <font>
      <b/>
      <sz val="10"/>
      <name val="Arial"/>
    </font>
    <font>
      <sz val="10"/>
      <name val="Arial"/>
    </font>
    <font>
      <b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28">
    <xf numFmtId="0" fontId="0" fillId="0" borderId="0" xfId="0"/>
    <xf numFmtId="4" fontId="0" fillId="0" borderId="0" xfId="0" applyNumberFormat="1"/>
    <xf numFmtId="4" fontId="1" fillId="0" borderId="0" xfId="0" applyNumberFormat="1" applyFont="1" applyAlignment="1" applyProtection="1">
      <alignment horizontal="center" vertical="center"/>
    </xf>
    <xf numFmtId="0" fontId="2" fillId="0" borderId="0" xfId="0" applyFont="1" applyProtection="1"/>
    <xf numFmtId="0" fontId="3" fillId="0" borderId="0" xfId="0" applyFont="1" applyProtection="1"/>
    <xf numFmtId="4" fontId="4" fillId="2" borderId="0" xfId="0" applyNumberFormat="1" applyFont="1" applyFill="1" applyAlignment="1" applyProtection="1">
      <alignment horizontal="center"/>
    </xf>
    <xf numFmtId="0" fontId="2" fillId="3" borderId="1" xfId="0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vertical="center"/>
    </xf>
    <xf numFmtId="4" fontId="3" fillId="0" borderId="1" xfId="0" applyNumberFormat="1" applyFont="1" applyBorder="1" applyAlignment="1" applyProtection="1">
      <alignment vertical="center"/>
    </xf>
    <xf numFmtId="0" fontId="2" fillId="0" borderId="0" xfId="0" applyFont="1"/>
    <xf numFmtId="0" fontId="2" fillId="0" borderId="1" xfId="0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vertical="center"/>
    </xf>
    <xf numFmtId="0" fontId="1" fillId="0" borderId="0" xfId="0" applyFont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/>
    </xf>
    <xf numFmtId="0" fontId="2" fillId="4" borderId="0" xfId="0" applyFont="1" applyFill="1"/>
    <xf numFmtId="0" fontId="2" fillId="4" borderId="1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vertical="center"/>
    </xf>
    <xf numFmtId="0" fontId="3" fillId="0" borderId="1" xfId="0" applyFont="1" applyBorder="1" applyAlignment="1" applyProtection="1">
      <alignment vertical="center" wrapText="1"/>
    </xf>
    <xf numFmtId="0" fontId="0" fillId="0" borderId="1" xfId="0" applyBorder="1" applyAlignment="1" applyProtection="1">
      <alignment vertical="center" wrapText="1"/>
    </xf>
    <xf numFmtId="0" fontId="0" fillId="0" borderId="1" xfId="0" applyBorder="1" applyAlignment="1" applyProtection="1">
      <alignment vertical="center"/>
    </xf>
    <xf numFmtId="164" fontId="3" fillId="0" borderId="1" xfId="0" applyNumberFormat="1" applyFont="1" applyBorder="1" applyAlignment="1" applyProtection="1">
      <alignment vertical="center"/>
    </xf>
    <xf numFmtId="164" fontId="2" fillId="4" borderId="1" xfId="0" applyNumberFormat="1" applyFont="1" applyFill="1" applyBorder="1" applyAlignment="1" applyProtection="1">
      <alignment vertical="center"/>
    </xf>
    <xf numFmtId="164" fontId="0" fillId="0" borderId="0" xfId="0" applyNumberFormat="1"/>
    <xf numFmtId="4" fontId="2" fillId="3" borderId="0" xfId="0" applyNumberFormat="1" applyFont="1" applyFill="1" applyProtection="1"/>
    <xf numFmtId="164" fontId="2" fillId="3" borderId="1" xfId="0" applyNumberFormat="1" applyFont="1" applyFill="1" applyBorder="1" applyAlignment="1" applyProtection="1">
      <alignment horizontal="center" vertical="center" wrapText="1"/>
    </xf>
    <xf numFmtId="4" fontId="2" fillId="0" borderId="1" xfId="0" applyNumberFormat="1" applyFont="1" applyBorder="1" applyAlignment="1" applyProtection="1">
      <alignment vertic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_PROJECT" displayName="tbl_PROJECT" ref="A1:B11" totalsRowShown="1" headerRowCount="1">
  <autoFilter ref="A1:B11">
    <filterColumn colId="0" hiddenButton="1"/>
    <filterColumn colId="1" hiddenButton="1"/>
  </autoFilter>
  <tableColumns count="2">
    <tableColumn id="1" name="field" totalsRowLabel="Total"/>
    <tableColumn id="2" name="value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_BV_TRACE" displayName="tbl_BV_TRACE" ref="A14:H22" totalsRowShown="1" headerRowCount="1">
  <autoFilter ref="A14:H2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bv_id" totalsRowLabel="Total"/>
    <tableColumn id="2" name="bv_line_id" totalsRowFunction="none"/>
    <tableColumn id="3" name="parent_bv_line_id" totalsRowFunction="none"/>
    <tableColumn id="4" name="ref_bv_line_id" totalsRowFunction="none"/>
    <tableColumn id="5" name="rab_item_id" totalsRowFunction="none"/>
    <tableColumn id="6" name="template_key" totalsRowFunction="none"/>
    <tableColumn id="7" name="template_version" totalsRowFunction="none"/>
    <tableColumn id="8" name="provenance" totalsRowFunction="non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_AHSP_COMP" displayName="tbl_AHSP_COMP" ref="A1:J3" totalsRowShown="1" headerRowCount="1">
  <autoFilter ref="A1:J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ahsp_component_id" totalsRowLabel="Total"/>
    <tableColumn id="2" name="ahsp_id" totalsRowFunction="none"/>
    <tableColumn id="3" name="hsp_id" totalsRowFunction="none"/>
    <tableColumn id="4" name="resource_id" totalsRowFunction="none"/>
    <tableColumn id="5" name="component_group" totalsRowFunction="none"/>
    <tableColumn id="6" name="source_order" totalsRowFunction="none"/>
    <tableColumn id="7" name="coefficient" totalsRowFunction="none"/>
    <tableColumn id="8" name="price_value" totalsRowFunction="none"/>
    <tableColumn id="9" name="component_cost" totalsRowFunction="none"/>
    <tableColumn id="10" name="source_locator" totalsRowFunction="non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_HSP_MAP" displayName="tbl_HSP_MAP" ref="A1:K2" totalsRowShown="1" headerRowCount="1">
  <autoFilter ref="A1:K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display_order" totalsRowLabel="Total"/>
    <tableColumn id="2" name="item_id" totalsRowFunction="none"/>
    <tableColumn id="3" name="group_id" totalsRowFunction="none"/>
    <tableColumn id="4" name="group_name" totalsRowFunction="none"/>
    <tableColumn id="5" name="subgroup_id" totalsRowFunction="none"/>
    <tableColumn id="6" name="subgroup_name" totalsRowFunction="none"/>
    <tableColumn id="7" name="hsp_id" totalsRowFunction="none"/>
    <tableColumn id="8" name="bv_id" totalsRowFunction="none"/>
    <tableColumn id="9" name="volume" totalsRowFunction="none"/>
    <tableColumn id="10" name="hsp_value" totalsRowFunction="none"/>
    <tableColumn id="11" name="item_amount" totalsRowFunction="non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_CHECKS" displayName="tbl_CHECKS" ref="A1:D4" totalsRowShown="1" headerRowCount="1">
  <autoFilter ref="A1:D4">
    <filterColumn colId="0" hiddenButton="1"/>
    <filterColumn colId="1" hiddenButton="1"/>
    <filterColumn colId="2" hiddenButton="1"/>
    <filterColumn colId="3" hiddenButton="1"/>
  </autoFilter>
  <tableColumns count="4">
    <tableColumn id="1" name="check_id" totalsRowLabel="Total"/>
    <tableColumn id="2" name="result" totalsRowFunction="none"/>
    <tableColumn id="3" name="message" totalsRowFunction="none"/>
    <tableColumn id="4" name="snapshot_id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5" width="16" customWidth="1"/>
    <col min="6" max="6" width="22" style="1" customWidth="1"/>
  </cols>
  <sheetData>
    <row r="1" ht="24" customHeight="1" spans="1:6" x14ac:dyDescent="0.25">
      <c r="A1" s="2" t="s">
        <v>0</v>
      </c>
      <c r="B1" s="2"/>
      <c r="C1" s="2"/>
      <c r="D1" s="2"/>
      <c r="E1" s="2"/>
      <c r="F1" s="2"/>
    </row>
    <row r="3" spans="1:6" x14ac:dyDescent="0.25">
      <c r="A3" s="3" t="s">
        <v>1</v>
      </c>
      <c r="B3" s="4" t="s">
        <v>2</v>
      </c>
      <c r="F3" s="5" t="s">
        <v>3</v>
      </c>
    </row>
    <row r="4" spans="1:6" x14ac:dyDescent="0.25">
      <c r="A4" s="3" t="s">
        <v>4</v>
      </c>
      <c r="B4" s="4" t="s">
        <v>5</v>
      </c>
      <c r="F4" s="1"/>
    </row>
    <row r="5" spans="1:6" x14ac:dyDescent="0.25">
      <c r="A5" s="3" t="s">
        <v>6</v>
      </c>
      <c r="B5" s="4" t="s">
        <v>7</v>
      </c>
      <c r="F5" s="1"/>
    </row>
    <row r="7" ht="30" customHeight="1" spans="1:6" x14ac:dyDescent="0.25">
      <c r="A7" s="6" t="s">
        <v>8</v>
      </c>
      <c r="B7" s="6" t="s">
        <v>9</v>
      </c>
      <c r="C7" s="6"/>
      <c r="D7" s="6"/>
      <c r="E7" s="6"/>
      <c r="F7" s="7" t="s">
        <v>10</v>
      </c>
    </row>
    <row r="9" spans="1:6" x14ac:dyDescent="0.25">
      <c r="A9" s="8" t="s">
        <v>11</v>
      </c>
      <c r="B9" s="8" t="s">
        <v>12</v>
      </c>
      <c r="C9" s="8"/>
      <c r="D9" s="8"/>
      <c r="E9" s="8"/>
      <c r="F9" s="9">
        <f>=SUM('RAB'!G10)</f>
        <v>11436371.3178</v>
      </c>
    </row>
    <row r="10" spans="1:6" x14ac:dyDescent="0.25">
      <c r="A10" s="8" t="s">
        <v>13</v>
      </c>
      <c r="B10" s="8"/>
      <c r="C10" s="8"/>
      <c r="D10" s="8"/>
      <c r="E10" s="8"/>
      <c r="F10" s="9">
        <f>=SUM(F9:F9)</f>
        <v>11436371.3178</v>
      </c>
    </row>
    <row r="11" spans="1:6" x14ac:dyDescent="0.25">
      <c r="A11" s="8" t="s">
        <v>14</v>
      </c>
      <c r="B11" s="8"/>
      <c r="C11" s="8"/>
      <c r="D11" s="8"/>
      <c r="E11" s="8"/>
      <c r="F11" s="9">
        <f>=F10*'PROJECT'!$B$8</f>
        <v>1258000.844958</v>
      </c>
    </row>
    <row r="12" spans="1:6" x14ac:dyDescent="0.25">
      <c r="A12" s="8" t="s">
        <v>15</v>
      </c>
      <c r="B12" s="8"/>
      <c r="C12" s="8"/>
      <c r="D12" s="8"/>
      <c r="E12" s="8"/>
      <c r="F12" s="9">
        <f>=F10+F11</f>
        <v>12694372.162758</v>
      </c>
    </row>
    <row r="13" spans="1:6" s="10" customFormat="1" x14ac:dyDescent="0.25">
      <c r="A13" s="11" t="s">
        <v>16</v>
      </c>
      <c r="B13" s="11"/>
      <c r="C13" s="11"/>
      <c r="D13" s="11"/>
      <c r="E13" s="11"/>
      <c r="F13" s="12">
        <f>=INT((F12+'PROJECT'!$B$9/2)/'PROJECT'!$B$9)*'PROJECT'!$B$9</f>
        <v>12694000</v>
      </c>
    </row>
    <row r="14" spans="1:6" x14ac:dyDescent="0.25">
      <c r="A14" s="8" t="s">
        <v>17</v>
      </c>
      <c r="B14" s="8"/>
      <c r="C14" s="8"/>
      <c r="D14" s="8"/>
      <c r="E14" s="8"/>
      <c r="F14" s="9">
        <f>=F13-F12</f>
        <v>-372.162758</v>
      </c>
    </row>
  </sheetData>
  <sheetProtection sheet="1" selectUnlockedCells="1" algorithmName="SHA-512" hashValue="LzfjRhhuO//XhBe5BVQrh0yZUDu+jjl4lEZAiVqZPfHK2KCs0gE3xwiA748f26FIiqWDC/eXDEkt6Nhsd5ZAJg==" saltValue="a017TBO9cLClRTG6Abld4w==" spinCount="100000"/>
  <mergeCells count="8">
    <mergeCell ref="A1:F1"/>
    <mergeCell ref="B7:E7"/>
    <mergeCell ref="B9:E9"/>
    <mergeCell ref="A10:E10"/>
    <mergeCell ref="A11:E11"/>
    <mergeCell ref="A12:E12"/>
    <mergeCell ref="A13:E13"/>
    <mergeCell ref="A14:E14"/>
  </mergeCells>
  <pageMargins left="0.25" right="0.25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7" customWidth="1"/>
    <col min="3" max="3" width="48" customWidth="1"/>
    <col min="5" max="5" width="14" customWidth="1"/>
    <col min="6" max="6" width="18" customWidth="1"/>
    <col min="7" max="7" width="20" customWidth="1"/>
  </cols>
  <sheetData>
    <row r="1" ht="24" customHeight="1" spans="1:7" x14ac:dyDescent="0.25">
      <c r="A1" s="13" t="s">
        <v>18</v>
      </c>
      <c r="B1" s="13"/>
      <c r="C1" s="13"/>
      <c r="D1" s="13"/>
      <c r="E1" s="13"/>
      <c r="F1" s="13"/>
      <c r="G1" s="13"/>
    </row>
    <row r="3" spans="1:7" x14ac:dyDescent="0.25">
      <c r="A3" s="3" t="s">
        <v>1</v>
      </c>
      <c r="B3" s="4" t="s">
        <v>2</v>
      </c>
      <c r="G3" s="1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7" ht="30" customHeight="1" spans="1:7" x14ac:dyDescent="0.25">
      <c r="A7" s="6" t="s">
        <v>19</v>
      </c>
      <c r="B7" s="6" t="s">
        <v>8</v>
      </c>
      <c r="C7" s="6" t="s">
        <v>9</v>
      </c>
      <c r="D7" s="6" t="s">
        <v>20</v>
      </c>
      <c r="E7" s="6" t="s">
        <v>21</v>
      </c>
      <c r="F7" s="6" t="s">
        <v>22</v>
      </c>
      <c r="G7" s="6" t="s">
        <v>10</v>
      </c>
    </row>
    <row r="9" spans="2:7" s="15" customFormat="1" x14ac:dyDescent="0.25">
      <c r="B9" s="16" t="s">
        <v>11</v>
      </c>
      <c r="C9" s="17" t="s">
        <v>12</v>
      </c>
      <c r="D9" s="17"/>
      <c r="E9" s="17"/>
      <c r="F9" s="17"/>
      <c r="G9" s="17"/>
    </row>
    <row r="10" spans="1:7" x14ac:dyDescent="0.25">
      <c r="A10" s="8" t="s">
        <v>23</v>
      </c>
      <c r="B10" s="18">
        <v>1</v>
      </c>
      <c r="C10" s="18" t="s">
        <v>24</v>
      </c>
      <c r="D10" s="8" t="s">
        <v>25</v>
      </c>
      <c r="E10" s="9">
        <f>='BV'!L16</f>
        <v>74.3535</v>
      </c>
      <c r="F10" s="9">
        <f>='ANALISA HSP'!G13</f>
        <v>153810.8</v>
      </c>
      <c r="G10" s="9">
        <f>=E10*F10</f>
        <v>11436371.3178</v>
      </c>
    </row>
  </sheetData>
  <sheetProtection sheet="1" selectUnlockedCells="1" algorithmName="SHA-512" hashValue="WYC0K/+o0jt2NxYHMXiUbJeKh6AJ3HMzKiEz9Ya5KctKr1ala/I2HprWvQTq2jIrkotUhRUq+Hz7EXs0oSoGXA==" saltValue="ONdo9EkLY8K8qywSS2+fnw==" spinCount="100000"/>
  <mergeCells count="2">
    <mergeCell ref="A1:G1"/>
    <mergeCell ref="C9:G9"/>
  </mergeCells>
  <pageMargins left="0.25" right="0.25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42" customWidth="1"/>
    <col min="3" max="9" width="11" customWidth="1"/>
    <col min="10" max="10" width="24" customWidth="1"/>
    <col min="12" max="12" width="14" customWidth="1"/>
  </cols>
  <sheetData>
    <row r="1" ht="24" customHeight="1" spans="1:12" x14ac:dyDescent="0.25">
      <c r="A1" s="13" t="s">
        <v>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3" spans="1:12" x14ac:dyDescent="0.25">
      <c r="A3" s="3" t="s">
        <v>1</v>
      </c>
      <c r="B3" s="4" t="s">
        <v>2</v>
      </c>
      <c r="L3" s="1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7" ht="30" customHeight="1" spans="1:12" x14ac:dyDescent="0.25">
      <c r="A7" s="6" t="s">
        <v>8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31</v>
      </c>
      <c r="G7" s="6" t="s">
        <v>32</v>
      </c>
      <c r="H7" s="6" t="s">
        <v>33</v>
      </c>
      <c r="I7" s="6" t="s">
        <v>34</v>
      </c>
      <c r="J7" s="6" t="s">
        <v>35</v>
      </c>
      <c r="K7" s="6" t="s">
        <v>20</v>
      </c>
      <c r="L7" s="6" t="s">
        <v>21</v>
      </c>
    </row>
    <row r="9" spans="1:12" x14ac:dyDescent="0.25">
      <c r="A9" s="8">
        <v>1</v>
      </c>
      <c r="B9" s="18" t="s">
        <v>36</v>
      </c>
      <c r="C9" s="19" t="s">
        <v>37</v>
      </c>
      <c r="D9" s="20" t="s">
        <v>37</v>
      </c>
      <c r="E9" s="20" t="s">
        <v>37</v>
      </c>
      <c r="F9" s="20" t="s">
        <v>37</v>
      </c>
      <c r="G9" s="21">
        <v>1.296</v>
      </c>
      <c r="H9" s="20" t="s">
        <v>37</v>
      </c>
      <c r="I9" s="20" t="s">
        <v>37</v>
      </c>
      <c r="J9" s="8" t="s">
        <v>38</v>
      </c>
      <c r="K9" s="8" t="s">
        <v>25</v>
      </c>
      <c r="L9" s="21">
        <f>=G9</f>
        <v>1.296</v>
      </c>
    </row>
    <row r="10" spans="1:12" x14ac:dyDescent="0.25">
      <c r="A10" s="8">
        <v>2</v>
      </c>
      <c r="B10" s="18" t="s">
        <v>39</v>
      </c>
      <c r="C10" s="19" t="s">
        <v>37</v>
      </c>
      <c r="D10" s="20" t="s">
        <v>37</v>
      </c>
      <c r="E10" s="20" t="s">
        <v>37</v>
      </c>
      <c r="F10" s="20" t="s">
        <v>37</v>
      </c>
      <c r="G10" s="21">
        <v>6.48</v>
      </c>
      <c r="H10" s="20" t="s">
        <v>37</v>
      </c>
      <c r="I10" s="20" t="s">
        <v>37</v>
      </c>
      <c r="J10" s="8" t="s">
        <v>40</v>
      </c>
      <c r="K10" s="8" t="s">
        <v>25</v>
      </c>
      <c r="L10" s="21">
        <f>=G10</f>
        <v>6.48</v>
      </c>
    </row>
    <row r="11" spans="1:12" x14ac:dyDescent="0.25">
      <c r="A11" s="8">
        <v>3</v>
      </c>
      <c r="B11" s="18" t="s">
        <v>41</v>
      </c>
      <c r="C11" s="19" t="s">
        <v>37</v>
      </c>
      <c r="D11" s="20" t="s">
        <v>37</v>
      </c>
      <c r="E11" s="20" t="s">
        <v>37</v>
      </c>
      <c r="F11" s="20" t="s">
        <v>37</v>
      </c>
      <c r="G11" s="21">
        <v>23.328</v>
      </c>
      <c r="H11" s="20" t="s">
        <v>37</v>
      </c>
      <c r="I11" s="20" t="s">
        <v>37</v>
      </c>
      <c r="J11" s="8" t="s">
        <v>42</v>
      </c>
      <c r="K11" s="8" t="s">
        <v>25</v>
      </c>
      <c r="L11" s="21">
        <f>=G11</f>
        <v>23.328</v>
      </c>
    </row>
    <row r="12" spans="1:12" x14ac:dyDescent="0.25">
      <c r="A12" s="8">
        <v>4</v>
      </c>
      <c r="B12" s="18" t="s">
        <v>43</v>
      </c>
      <c r="C12" s="19" t="s">
        <v>37</v>
      </c>
      <c r="D12" s="20" t="s">
        <v>37</v>
      </c>
      <c r="E12" s="20" t="s">
        <v>37</v>
      </c>
      <c r="F12" s="20" t="s">
        <v>37</v>
      </c>
      <c r="G12" s="21">
        <v>18.144</v>
      </c>
      <c r="H12" s="20" t="s">
        <v>37</v>
      </c>
      <c r="I12" s="20" t="s">
        <v>37</v>
      </c>
      <c r="J12" s="8" t="s">
        <v>44</v>
      </c>
      <c r="K12" s="8" t="s">
        <v>25</v>
      </c>
      <c r="L12" s="21">
        <f>=G12</f>
        <v>18.144</v>
      </c>
    </row>
    <row r="13" spans="1:12" x14ac:dyDescent="0.25">
      <c r="A13" s="8">
        <v>5</v>
      </c>
      <c r="B13" s="18" t="s">
        <v>45</v>
      </c>
      <c r="C13" s="19" t="s">
        <v>37</v>
      </c>
      <c r="D13" s="20" t="s">
        <v>37</v>
      </c>
      <c r="E13" s="20" t="s">
        <v>37</v>
      </c>
      <c r="F13" s="20" t="s">
        <v>37</v>
      </c>
      <c r="G13" s="21">
        <v>3.7845</v>
      </c>
      <c r="H13" s="20" t="s">
        <v>37</v>
      </c>
      <c r="I13" s="20" t="s">
        <v>37</v>
      </c>
      <c r="J13" s="8" t="s">
        <v>46</v>
      </c>
      <c r="K13" s="8" t="s">
        <v>25</v>
      </c>
      <c r="L13" s="21">
        <f>=G13</f>
        <v>3.7845</v>
      </c>
    </row>
    <row r="14" spans="1:12" x14ac:dyDescent="0.25">
      <c r="A14" s="8">
        <v>6</v>
      </c>
      <c r="B14" s="18" t="s">
        <v>47</v>
      </c>
      <c r="C14" s="19" t="s">
        <v>37</v>
      </c>
      <c r="D14" s="20" t="s">
        <v>37</v>
      </c>
      <c r="E14" s="20" t="s">
        <v>37</v>
      </c>
      <c r="F14" s="20" t="s">
        <v>37</v>
      </c>
      <c r="G14" s="21">
        <v>1.296</v>
      </c>
      <c r="H14" s="20" t="s">
        <v>37</v>
      </c>
      <c r="I14" s="20" t="s">
        <v>37</v>
      </c>
      <c r="J14" s="8" t="s">
        <v>38</v>
      </c>
      <c r="K14" s="8" t="s">
        <v>25</v>
      </c>
      <c r="L14" s="21">
        <f>=G14</f>
        <v>1.296</v>
      </c>
    </row>
    <row r="15" spans="1:12" x14ac:dyDescent="0.25">
      <c r="A15" s="8">
        <v>7</v>
      </c>
      <c r="B15" s="18" t="s">
        <v>48</v>
      </c>
      <c r="C15" s="19" t="s">
        <v>37</v>
      </c>
      <c r="D15" s="20" t="s">
        <v>37</v>
      </c>
      <c r="E15" s="20" t="s">
        <v>37</v>
      </c>
      <c r="F15" s="20" t="s">
        <v>37</v>
      </c>
      <c r="G15" s="21">
        <v>20.025</v>
      </c>
      <c r="H15" s="20" t="s">
        <v>37</v>
      </c>
      <c r="I15" s="20" t="s">
        <v>37</v>
      </c>
      <c r="J15" s="8" t="s">
        <v>49</v>
      </c>
      <c r="K15" s="8" t="s">
        <v>25</v>
      </c>
      <c r="L15" s="21">
        <f>=G15</f>
        <v>20.025</v>
      </c>
    </row>
    <row r="16" spans="1:12" s="15" customFormat="1" x14ac:dyDescent="0.25">
      <c r="A16" s="17" t="s">
        <v>37</v>
      </c>
      <c r="B16" s="16" t="s">
        <v>50</v>
      </c>
      <c r="C16" s="16" t="s">
        <v>37</v>
      </c>
      <c r="D16" s="17" t="s">
        <v>37</v>
      </c>
      <c r="E16" s="17" t="s">
        <v>37</v>
      </c>
      <c r="F16" s="17" t="s">
        <v>37</v>
      </c>
      <c r="G16" s="17" t="s">
        <v>37</v>
      </c>
      <c r="H16" s="17" t="s">
        <v>37</v>
      </c>
      <c r="I16" s="17" t="s">
        <v>37</v>
      </c>
      <c r="J16" s="17" t="s">
        <v>51</v>
      </c>
      <c r="K16" s="17" t="s">
        <v>25</v>
      </c>
      <c r="L16" s="22">
        <f>=SUM(L9,L10,L11,L12,L13,L14,L15)</f>
        <v>74.3535</v>
      </c>
    </row>
  </sheetData>
  <sheetProtection sheet="1" selectUnlockedCells="1" algorithmName="SHA-512" hashValue="W3PKg5xETyZW5upjhyjRV1AzAeYWaBDSgtjNYeS6LahQ9HSvpOd4T3KWvghVsA46fiMDvIhpPh+LlPJvJyHDVA==" saltValue="0JSPlwE8o5iU+0Rn2bJGDw==" spinCount="100000"/>
  <mergeCells count="1">
    <mergeCell ref="A1:L1"/>
  </mergeCells>
  <pageMargins left="0.25" right="0.25" top="0.5" bottom="0.5" header="0.2" footer="0.2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2" customWidth="1"/>
    <col min="3" max="3" width="38" customWidth="1"/>
    <col min="4" max="4" width="10" customWidth="1"/>
    <col min="5" max="5" width="14" style="23" customWidth="1"/>
    <col min="6" max="7" width="18" style="1" customWidth="1"/>
  </cols>
  <sheetData>
    <row r="1" ht="24" customHeight="1" spans="1:7" x14ac:dyDescent="0.25">
      <c r="A1" s="2" t="s">
        <v>52</v>
      </c>
      <c r="B1" s="2"/>
      <c r="C1" s="2"/>
      <c r="D1" s="2"/>
      <c r="E1" s="2"/>
      <c r="F1" s="2"/>
      <c r="G1" s="2"/>
    </row>
    <row r="3" spans="1:7" x14ac:dyDescent="0.25">
      <c r="A3" s="3" t="s">
        <v>1</v>
      </c>
      <c r="B3" s="4" t="s">
        <v>2</v>
      </c>
      <c r="E3" s="23"/>
      <c r="F3" s="1"/>
      <c r="G3" s="5" t="s">
        <v>3</v>
      </c>
    </row>
    <row r="4" spans="1:7" x14ac:dyDescent="0.25">
      <c r="A4" s="3" t="s">
        <v>4</v>
      </c>
      <c r="B4" s="4" t="s">
        <v>5</v>
      </c>
      <c r="E4" s="23"/>
      <c r="F4" s="1"/>
      <c r="G4" s="1"/>
    </row>
    <row r="5" spans="1:7" x14ac:dyDescent="0.25">
      <c r="A5" s="3" t="s">
        <v>6</v>
      </c>
      <c r="B5" s="4" t="s">
        <v>7</v>
      </c>
      <c r="E5" s="23"/>
      <c r="F5" s="1"/>
      <c r="G5" s="1"/>
    </row>
    <row r="7" spans="1:7" x14ac:dyDescent="0.25">
      <c r="A7" s="24" t="s">
        <v>53</v>
      </c>
      <c r="B7" s="24"/>
      <c r="C7" s="24"/>
      <c r="D7" s="24"/>
      <c r="E7" s="24"/>
      <c r="F7" s="24"/>
      <c r="G7" s="24"/>
    </row>
    <row r="8" ht="30" customHeight="1" spans="1:7" x14ac:dyDescent="0.25">
      <c r="A8" s="6" t="s">
        <v>8</v>
      </c>
      <c r="B8" s="6" t="s">
        <v>54</v>
      </c>
      <c r="C8" s="6" t="s">
        <v>55</v>
      </c>
      <c r="D8" s="6" t="s">
        <v>20</v>
      </c>
      <c r="E8" s="25" t="s">
        <v>56</v>
      </c>
      <c r="F8" s="7" t="s">
        <v>57</v>
      </c>
      <c r="G8" s="7" t="s">
        <v>58</v>
      </c>
    </row>
    <row r="9" spans="1:7" x14ac:dyDescent="0.25">
      <c r="A9" s="8">
        <v>1</v>
      </c>
      <c r="B9" s="18" t="s">
        <v>59</v>
      </c>
      <c r="C9" s="18" t="s">
        <v>60</v>
      </c>
      <c r="D9" s="8" t="s">
        <v>61</v>
      </c>
      <c r="E9" s="21">
        <v>0.75</v>
      </c>
      <c r="F9" s="9">
        <v>176000</v>
      </c>
      <c r="G9" s="9">
        <f>=E9*F9</f>
        <v>132000</v>
      </c>
    </row>
    <row r="10" spans="1:7" x14ac:dyDescent="0.25">
      <c r="A10" s="8">
        <v>2</v>
      </c>
      <c r="B10" s="18" t="s">
        <v>59</v>
      </c>
      <c r="C10" s="18" t="s">
        <v>62</v>
      </c>
      <c r="D10" s="8" t="s">
        <v>61</v>
      </c>
      <c r="E10" s="21">
        <v>0.038</v>
      </c>
      <c r="F10" s="9">
        <v>206000</v>
      </c>
      <c r="G10" s="9">
        <f>=E10*F10</f>
        <v>7828</v>
      </c>
    </row>
    <row r="11" spans="1:7" x14ac:dyDescent="0.25">
      <c r="A11" s="9" t="s">
        <v>63</v>
      </c>
      <c r="B11" s="9"/>
      <c r="C11" s="9"/>
      <c r="D11" s="9"/>
      <c r="E11" s="9"/>
      <c r="F11" s="9"/>
      <c r="G11" s="9">
        <f>=SUM(G9:G10)</f>
        <v>139828</v>
      </c>
    </row>
    <row r="12" spans="1:7" x14ac:dyDescent="0.25">
      <c r="A12" s="9" t="s">
        <v>64</v>
      </c>
      <c r="B12" s="9"/>
      <c r="C12" s="9"/>
      <c r="D12" s="9"/>
      <c r="E12" s="9"/>
      <c r="F12" s="9"/>
      <c r="G12" s="9">
        <f>=G11*'PROJECT'!$B$7</f>
        <v>13982.8</v>
      </c>
    </row>
    <row r="13" spans="1:7" s="10" customFormat="1" x14ac:dyDescent="0.25">
      <c r="A13" s="26" t="s">
        <v>65</v>
      </c>
      <c r="B13" s="26"/>
      <c r="C13" s="26"/>
      <c r="D13" s="26"/>
      <c r="E13" s="26"/>
      <c r="F13" s="26"/>
      <c r="G13" s="26">
        <f>=G11+G12</f>
        <v>153810.8</v>
      </c>
    </row>
  </sheetData>
  <sheetProtection sheet="1" selectUnlockedCells="1" algorithmName="SHA-512" hashValue="uy1wOdL6HW0ozbPGQ3PHPz7nX4oB098zNPhk0NYoO6KwUl0rKY0GzvKOnr0fNAh6rzP3cFhRQo/8Y8IvYqPalg==" saltValue="QJrbFDiMwI6qqitoTOtYpg==" spinCount="100000"/>
  <mergeCells count="5">
    <mergeCell ref="A1:G1"/>
    <mergeCell ref="A7:G7"/>
    <mergeCell ref="A11:F11"/>
    <mergeCell ref="A12:F12"/>
    <mergeCell ref="A13:F13"/>
  </mergeCells>
  <pageMargins left="0.25" right="0.25" top="0.5" bottom="0.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 showGridLines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2" customWidth="1"/>
    <col min="3" max="3" width="16" customWidth="1"/>
    <col min="4" max="4" width="38" customWidth="1"/>
    <col min="5" max="5" width="10" customWidth="1"/>
    <col min="6" max="6" width="18" style="1" customWidth="1"/>
    <col min="7" max="7" width="18" customWidth="1"/>
  </cols>
  <sheetData>
    <row r="1" ht="24" customHeight="1" spans="1:7" x14ac:dyDescent="0.25">
      <c r="A1" s="2" t="s">
        <v>66</v>
      </c>
      <c r="B1" s="2"/>
      <c r="C1" s="2"/>
      <c r="D1" s="2"/>
      <c r="E1" s="2"/>
      <c r="F1" s="2"/>
      <c r="G1" s="2"/>
    </row>
    <row r="3" spans="1:7" x14ac:dyDescent="0.25">
      <c r="A3" s="3" t="s">
        <v>1</v>
      </c>
      <c r="B3" s="4" t="s">
        <v>2</v>
      </c>
      <c r="F3" s="1"/>
      <c r="G3" s="14" t="s">
        <v>3</v>
      </c>
    </row>
    <row r="4" spans="1:6" x14ac:dyDescent="0.25">
      <c r="A4" s="3" t="s">
        <v>4</v>
      </c>
      <c r="B4" s="4" t="s">
        <v>5</v>
      </c>
      <c r="F4" s="1"/>
    </row>
    <row r="5" spans="1:6" x14ac:dyDescent="0.25">
      <c r="A5" s="3" t="s">
        <v>6</v>
      </c>
      <c r="B5" s="4" t="s">
        <v>7</v>
      </c>
      <c r="F5" s="1"/>
    </row>
    <row r="7" ht="30" customHeight="1" spans="1:7" x14ac:dyDescent="0.25">
      <c r="A7" s="6" t="s">
        <v>8</v>
      </c>
      <c r="B7" s="6" t="s">
        <v>54</v>
      </c>
      <c r="C7" s="6" t="s">
        <v>19</v>
      </c>
      <c r="D7" s="6" t="s">
        <v>55</v>
      </c>
      <c r="E7" s="6" t="s">
        <v>20</v>
      </c>
      <c r="F7" s="7" t="s">
        <v>57</v>
      </c>
      <c r="G7" s="6" t="s">
        <v>67</v>
      </c>
    </row>
    <row r="9" spans="1:7" x14ac:dyDescent="0.25">
      <c r="A9" s="8">
        <v>1</v>
      </c>
      <c r="B9" s="18" t="s">
        <v>59</v>
      </c>
      <c r="C9" s="18" t="s">
        <v>23</v>
      </c>
      <c r="D9" s="8" t="s">
        <v>60</v>
      </c>
      <c r="E9" s="8" t="s">
        <v>61</v>
      </c>
      <c r="F9" s="9">
        <v>176000</v>
      </c>
      <c r="G9" s="8" t="s">
        <v>68</v>
      </c>
    </row>
    <row r="10" spans="1:7" x14ac:dyDescent="0.25">
      <c r="A10" s="8">
        <v>2</v>
      </c>
      <c r="B10" s="18" t="s">
        <v>59</v>
      </c>
      <c r="C10" s="18" t="s">
        <v>23</v>
      </c>
      <c r="D10" s="8" t="s">
        <v>62</v>
      </c>
      <c r="E10" s="8" t="s">
        <v>61</v>
      </c>
      <c r="F10" s="9">
        <v>206000</v>
      </c>
      <c r="G10" s="8" t="s">
        <v>68</v>
      </c>
    </row>
  </sheetData>
  <sheetProtection sheet="1" selectUnlockedCells="1" algorithmName="SHA-512" hashValue="VNFGKbKgHe84f6nh+E9XKdVaGiGT6sZchPrK8Whh2R8KESs+3pSJ/pvqcz2jBIXseC/HAspuPMSDrnGz6bnrrg==" saltValue="M82hnX9PJbPMbZ2zT/sBCA==" spinCount="100000"/>
  <mergeCells count="1">
    <mergeCell ref="A1:G1"/>
  </mergeCells>
  <pageMargins left="0.25" right="0.25" top="0.5" bottom="0.5" header="0.2" footer="0.2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sheetData>
    <row r="1" spans="1:2" x14ac:dyDescent="0.25">
      <c r="A1" s="27" t="s">
        <v>69</v>
      </c>
      <c r="B1" s="27" t="s">
        <v>70</v>
      </c>
    </row>
    <row r="2" spans="1:2" x14ac:dyDescent="0.25">
      <c r="A2" s="27" t="s">
        <v>71</v>
      </c>
      <c r="B2" s="27" t="s">
        <v>72</v>
      </c>
    </row>
    <row r="3" spans="1:2" x14ac:dyDescent="0.25">
      <c r="A3" s="27" t="s">
        <v>73</v>
      </c>
      <c r="B3" s="27" t="s">
        <v>74</v>
      </c>
    </row>
    <row r="4" spans="1:2" x14ac:dyDescent="0.25">
      <c r="A4" s="27" t="s">
        <v>75</v>
      </c>
      <c r="B4" s="27" t="s">
        <v>76</v>
      </c>
    </row>
    <row r="5" spans="1:2" x14ac:dyDescent="0.25">
      <c r="A5" s="27" t="s">
        <v>77</v>
      </c>
      <c r="B5" s="27" t="s">
        <v>78</v>
      </c>
    </row>
    <row r="6" spans="1:2" x14ac:dyDescent="0.25">
      <c r="A6" s="27" t="s">
        <v>79</v>
      </c>
      <c r="B6" s="27" t="s">
        <v>80</v>
      </c>
    </row>
    <row r="7" spans="1:2" x14ac:dyDescent="0.25">
      <c r="A7" s="27" t="s">
        <v>81</v>
      </c>
      <c r="B7" s="27">
        <v>0.1</v>
      </c>
    </row>
    <row r="8" spans="1:2" x14ac:dyDescent="0.25">
      <c r="A8" s="27" t="s">
        <v>82</v>
      </c>
      <c r="B8" s="27">
        <v>0.11</v>
      </c>
    </row>
    <row r="9" spans="1:2" x14ac:dyDescent="0.25">
      <c r="A9" s="27" t="s">
        <v>83</v>
      </c>
      <c r="B9" s="27">
        <v>1000</v>
      </c>
    </row>
    <row r="10" spans="1:2" x14ac:dyDescent="0.25">
      <c r="A10" s="27" t="s">
        <v>84</v>
      </c>
      <c r="B10" s="27" t="s">
        <v>85</v>
      </c>
    </row>
    <row r="11" spans="1:2" x14ac:dyDescent="0.25">
      <c r="A11" s="27" t="s">
        <v>86</v>
      </c>
      <c r="B11" s="27" t="s">
        <v>87</v>
      </c>
    </row>
    <row r="14" spans="1:8" x14ac:dyDescent="0.25">
      <c r="A14" s="27" t="s">
        <v>88</v>
      </c>
      <c r="B14" s="27" t="s">
        <v>89</v>
      </c>
      <c r="C14" s="27" t="s">
        <v>90</v>
      </c>
      <c r="D14" s="27" t="s">
        <v>91</v>
      </c>
      <c r="E14" s="27" t="s">
        <v>92</v>
      </c>
      <c r="F14" s="27" t="s">
        <v>93</v>
      </c>
      <c r="G14" s="27" t="s">
        <v>94</v>
      </c>
      <c r="H14" s="27" t="s">
        <v>95</v>
      </c>
    </row>
    <row r="15" spans="1:8" x14ac:dyDescent="0.25">
      <c r="A15" s="27" t="s">
        <v>96</v>
      </c>
      <c r="B15" s="27" t="s">
        <v>97</v>
      </c>
      <c r="C15" s="27" t="s">
        <v>98</v>
      </c>
      <c r="D15" s="27" t="s">
        <v>99</v>
      </c>
      <c r="E15" s="27" t="s">
        <v>100</v>
      </c>
      <c r="F15" s="27" t="s">
        <v>101</v>
      </c>
      <c r="G15" s="27" t="s">
        <v>102</v>
      </c>
      <c r="H15" s="27" t="s">
        <v>103</v>
      </c>
    </row>
    <row r="16" spans="1:8" x14ac:dyDescent="0.25">
      <c r="A16" s="27" t="s">
        <v>96</v>
      </c>
      <c r="B16" s="27" t="s">
        <v>104</v>
      </c>
      <c r="C16" s="27" t="s">
        <v>98</v>
      </c>
      <c r="D16" s="27" t="s">
        <v>99</v>
      </c>
      <c r="E16" s="27" t="s">
        <v>100</v>
      </c>
      <c r="F16" s="27" t="s">
        <v>101</v>
      </c>
      <c r="G16" s="27" t="s">
        <v>102</v>
      </c>
      <c r="H16" s="27" t="s">
        <v>103</v>
      </c>
    </row>
    <row r="17" spans="1:8" x14ac:dyDescent="0.25">
      <c r="A17" s="27" t="s">
        <v>96</v>
      </c>
      <c r="B17" s="27" t="s">
        <v>105</v>
      </c>
      <c r="C17" s="27" t="s">
        <v>98</v>
      </c>
      <c r="D17" s="27" t="s">
        <v>99</v>
      </c>
      <c r="E17" s="27" t="s">
        <v>100</v>
      </c>
      <c r="F17" s="27" t="s">
        <v>101</v>
      </c>
      <c r="G17" s="27" t="s">
        <v>102</v>
      </c>
      <c r="H17" s="27" t="s">
        <v>103</v>
      </c>
    </row>
    <row r="18" spans="1:8" x14ac:dyDescent="0.25">
      <c r="A18" s="27" t="s">
        <v>96</v>
      </c>
      <c r="B18" s="27" t="s">
        <v>106</v>
      </c>
      <c r="C18" s="27" t="s">
        <v>98</v>
      </c>
      <c r="D18" s="27" t="s">
        <v>99</v>
      </c>
      <c r="E18" s="27" t="s">
        <v>100</v>
      </c>
      <c r="F18" s="27" t="s">
        <v>101</v>
      </c>
      <c r="G18" s="27" t="s">
        <v>102</v>
      </c>
      <c r="H18" s="27" t="s">
        <v>103</v>
      </c>
    </row>
    <row r="19" spans="1:8" x14ac:dyDescent="0.25">
      <c r="A19" s="27" t="s">
        <v>96</v>
      </c>
      <c r="B19" s="27" t="s">
        <v>107</v>
      </c>
      <c r="C19" s="27" t="s">
        <v>98</v>
      </c>
      <c r="D19" s="27" t="s">
        <v>99</v>
      </c>
      <c r="E19" s="27" t="s">
        <v>100</v>
      </c>
      <c r="F19" s="27" t="s">
        <v>101</v>
      </c>
      <c r="G19" s="27" t="s">
        <v>102</v>
      </c>
      <c r="H19" s="27" t="s">
        <v>103</v>
      </c>
    </row>
    <row r="20" spans="1:8" x14ac:dyDescent="0.25">
      <c r="A20" s="27" t="s">
        <v>96</v>
      </c>
      <c r="B20" s="27" t="s">
        <v>108</v>
      </c>
      <c r="C20" s="27" t="s">
        <v>98</v>
      </c>
      <c r="D20" s="27" t="s">
        <v>99</v>
      </c>
      <c r="E20" s="27" t="s">
        <v>100</v>
      </c>
      <c r="F20" s="27" t="s">
        <v>101</v>
      </c>
      <c r="G20" s="27" t="s">
        <v>102</v>
      </c>
      <c r="H20" s="27" t="s">
        <v>103</v>
      </c>
    </row>
    <row r="21" spans="1:8" x14ac:dyDescent="0.25">
      <c r="A21" s="27" t="s">
        <v>96</v>
      </c>
      <c r="B21" s="27" t="s">
        <v>109</v>
      </c>
      <c r="C21" s="27" t="s">
        <v>98</v>
      </c>
      <c r="D21" s="27" t="s">
        <v>99</v>
      </c>
      <c r="E21" s="27" t="s">
        <v>100</v>
      </c>
      <c r="F21" s="27" t="s">
        <v>101</v>
      </c>
      <c r="G21" s="27" t="s">
        <v>102</v>
      </c>
      <c r="H21" s="27" t="s">
        <v>103</v>
      </c>
    </row>
    <row r="22" spans="1:8" x14ac:dyDescent="0.25">
      <c r="A22" s="27" t="s">
        <v>96</v>
      </c>
      <c r="B22" s="27" t="s">
        <v>98</v>
      </c>
      <c r="C22" s="27" t="s">
        <v>99</v>
      </c>
      <c r="D22" s="27" t="s">
        <v>99</v>
      </c>
      <c r="E22" s="27" t="s">
        <v>100</v>
      </c>
      <c r="F22" s="27" t="s">
        <v>110</v>
      </c>
      <c r="G22" s="27" t="s">
        <v>102</v>
      </c>
      <c r="H22" s="27" t="s">
        <v>103</v>
      </c>
    </row>
  </sheetData>
  <sheetProtection sheet="1" selectUnlockedCells="1" algorithmName="SHA-512" hashValue="rodUoi62o5Q8k6c0cvSeWsovmBMvXzy9QFsZ2gLLP+4dGXnSGel4XB+PF5M3jKIE/CWc0ss4t/pvgc9SW6JuRQ==" saltValue="rxrPxU7X2TyEug3uLWaTgw==" spinCount="100000"/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s="27" t="s">
        <v>111</v>
      </c>
      <c r="B1" s="27" t="s">
        <v>112</v>
      </c>
      <c r="C1" s="27" t="s">
        <v>113</v>
      </c>
      <c r="D1" s="27" t="s">
        <v>114</v>
      </c>
      <c r="E1" s="27" t="s">
        <v>115</v>
      </c>
      <c r="F1" s="27" t="s">
        <v>116</v>
      </c>
      <c r="G1" s="27" t="s">
        <v>117</v>
      </c>
      <c r="H1" s="27" t="s">
        <v>118</v>
      </c>
      <c r="I1" s="27" t="s">
        <v>119</v>
      </c>
      <c r="J1" s="27" t="s">
        <v>120</v>
      </c>
    </row>
    <row r="2" spans="1:10" x14ac:dyDescent="0.25">
      <c r="A2" s="27" t="s">
        <v>121</v>
      </c>
      <c r="B2" s="27" t="s">
        <v>122</v>
      </c>
      <c r="C2" s="27" t="s">
        <v>123</v>
      </c>
      <c r="D2" s="27" t="s">
        <v>124</v>
      </c>
      <c r="E2" s="27" t="s">
        <v>59</v>
      </c>
      <c r="F2" s="27">
        <v>1</v>
      </c>
      <c r="G2" s="27">
        <v>0.75</v>
      </c>
      <c r="H2" s="27">
        <v>176000</v>
      </c>
      <c r="I2" s="27">
        <v>132000</v>
      </c>
      <c r="J2" s="27" t="s">
        <v>125</v>
      </c>
    </row>
    <row r="3" spans="1:10" x14ac:dyDescent="0.25">
      <c r="A3" s="27" t="s">
        <v>126</v>
      </c>
      <c r="B3" s="27" t="s">
        <v>122</v>
      </c>
      <c r="C3" s="27" t="s">
        <v>123</v>
      </c>
      <c r="D3" s="27" t="s">
        <v>127</v>
      </c>
      <c r="E3" s="27" t="s">
        <v>59</v>
      </c>
      <c r="F3" s="27">
        <v>2</v>
      </c>
      <c r="G3" s="27">
        <v>0.038</v>
      </c>
      <c r="H3" s="27">
        <v>206000</v>
      </c>
      <c r="I3" s="27">
        <v>7828</v>
      </c>
      <c r="J3" s="27" t="s">
        <v>125</v>
      </c>
    </row>
  </sheetData>
  <sheetProtection sheet="1" selectUnlockedCells="1" algorithmName="SHA-512" hashValue="XVQoylMccfBSLLUpyy5DpafqXfPNiOQkWjVnpc3vxIGC541FbPrcgrX9u3b4e4wDHrcw6Vmfb6kGiFoKvqn3bg==" saltValue="NoenVEl6+7paXtFDnhvVGw==" spinCount="100000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s="27" t="s">
        <v>128</v>
      </c>
      <c r="B1" s="27" t="s">
        <v>129</v>
      </c>
      <c r="C1" s="27" t="s">
        <v>130</v>
      </c>
      <c r="D1" s="27" t="s">
        <v>131</v>
      </c>
      <c r="E1" s="27" t="s">
        <v>132</v>
      </c>
      <c r="F1" s="27" t="s">
        <v>133</v>
      </c>
      <c r="G1" s="27" t="s">
        <v>113</v>
      </c>
      <c r="H1" s="27" t="s">
        <v>88</v>
      </c>
      <c r="I1" s="27" t="s">
        <v>134</v>
      </c>
      <c r="J1" s="27" t="s">
        <v>135</v>
      </c>
      <c r="K1" s="27" t="s">
        <v>136</v>
      </c>
    </row>
    <row r="2" spans="1:11" x14ac:dyDescent="0.25">
      <c r="A2" s="27">
        <v>1</v>
      </c>
      <c r="B2" s="27" t="s">
        <v>100</v>
      </c>
      <c r="C2" s="27" t="s">
        <v>137</v>
      </c>
      <c r="D2" s="27" t="s">
        <v>12</v>
      </c>
      <c r="E2" s="27" t="s">
        <v>99</v>
      </c>
      <c r="F2" s="27" t="s">
        <v>99</v>
      </c>
      <c r="G2" s="27" t="s">
        <v>123</v>
      </c>
      <c r="H2" s="27" t="s">
        <v>96</v>
      </c>
      <c r="I2" s="27">
        <v>74.3535</v>
      </c>
      <c r="J2" s="27">
        <v>153810.8</v>
      </c>
      <c r="K2" s="27">
        <v>11436371.3178</v>
      </c>
    </row>
  </sheetData>
  <sheetProtection sheet="1" selectUnlockedCells="1" algorithmName="SHA-512" hashValue="yvfRpBy3O3lZe1URrVKaOcx6qXXHo4YCOvFueJ9gHd3LO+znw+1+rNqSyuZt0qtnrg04rcQJsJOVTR7qqgsJWg==" saltValue="akIkP5CxzRsAvVU+XK+cvA==" spinCount="100000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27" t="s">
        <v>138</v>
      </c>
      <c r="B1" s="27" t="s">
        <v>139</v>
      </c>
      <c r="C1" s="27" t="s">
        <v>140</v>
      </c>
      <c r="D1" s="27" t="s">
        <v>75</v>
      </c>
    </row>
    <row r="2" spans="1:4" x14ac:dyDescent="0.25">
      <c r="A2" s="27" t="s">
        <v>141</v>
      </c>
      <c r="B2" s="27" t="s">
        <v>142</v>
      </c>
      <c r="C2" s="27" t="s">
        <v>143</v>
      </c>
      <c r="D2" s="27" t="s">
        <v>76</v>
      </c>
    </row>
    <row r="3" spans="1:4" x14ac:dyDescent="0.25">
      <c r="A3" s="27" t="s">
        <v>144</v>
      </c>
      <c r="B3" s="27" t="s">
        <v>142</v>
      </c>
      <c r="C3" s="27" t="s">
        <v>145</v>
      </c>
      <c r="D3" s="27" t="s">
        <v>76</v>
      </c>
    </row>
    <row r="4" spans="1:4" x14ac:dyDescent="0.25">
      <c r="A4" s="27" t="s">
        <v>146</v>
      </c>
      <c r="B4" s="27" t="s">
        <v>142</v>
      </c>
      <c r="C4" s="27" t="s">
        <v>147</v>
      </c>
      <c r="D4" s="27" t="s">
        <v>76</v>
      </c>
    </row>
  </sheetData>
  <sheetProtection sheet="1" selectUnlockedCells="1" algorithmName="SHA-512" hashValue="dTiGiDWwxobGxOZ4KptyeohPyBpMxMD7ILTEASRDeC1oOFizNrTIJiDC6e3HZMa/8Ff5ASxUipDDzq/3EE8zCw==" saltValue="HAW7aytBLkGCOl2k4s31zA==" spinCount="100000"/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REKAP</vt:lpstr>
      <vt:lpstr>RAB</vt:lpstr>
      <vt:lpstr>BV</vt:lpstr>
      <vt:lpstr>ANALISA HSP</vt:lpstr>
      <vt:lpstr>HARGA DASAR</vt:lpstr>
      <vt:lpstr>PROJECT</vt:lpstr>
      <vt:lpstr>AHSP_COMPONENTS</vt:lpstr>
      <vt:lpstr>HSP_MAPPING</vt:lpstr>
      <vt:lpstr>CHECKS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 AI Office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2026-08-31T00:00:00Z</dcterms:modified>
</cp:coreProperties>
</file>