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JECT" state="visible" r:id="rId4"/>
    <sheet sheetId="2" name="REKAP" state="visible" r:id="rId5"/>
    <sheet sheetId="3" name="RAB_DETAIL" state="visible" r:id="rId6"/>
    <sheet sheetId="4" name="BV" state="visible" r:id="rId7"/>
    <sheet sheetId="5" name="HSP_USED" state="visible" r:id="rId8"/>
    <sheet sheetId="6" name="AHSP_COMPONENTS" state="visible" r:id="rId9"/>
    <sheet sheetId="7" name="RESOURCE_SNAPSHOT" state="visible" r:id="rId10"/>
    <sheet sheetId="8" name="HSP_MAPPING" state="visible" r:id="rId11"/>
    <sheet sheetId="9" name="CHECKS" state="visible" r:id="rId12"/>
  </sheets>
  <definedNames>
    <definedName name="P_PROJECT_ID">PROJECT!$B$7</definedName>
    <definedName name="P_STATUS">PROJECT!$B$9</definedName>
    <definedName name="P_OH_RATE">PROJECT!$B$11</definedName>
    <definedName name="P_PPN_RATE">PROJECT!$B$12</definedName>
    <definedName name="P_ROUND_UNIT">PROJECT!$B$13</definedName>
  </definedNames>
  <calcPr calcId="171027" fullCalcOnLoad="1"/>
</workbook>
</file>

<file path=xl/sharedStrings.xml><?xml version="1.0" encoding="utf-8"?>
<sst xmlns="http://schemas.openxmlformats.org/spreadsheetml/2006/main" count="393" uniqueCount="195">
  <si>
    <t>Project</t>
  </si>
  <si>
    <t>Golden Output Validation</t>
  </si>
  <si>
    <t>Project ID</t>
  </si>
  <si>
    <t>golden-project-gt07-gt09</t>
  </si>
  <si>
    <t>RAB Version</t>
  </si>
  <si>
    <t>golden-rab-v1</t>
  </si>
  <si>
    <t>Revision</t>
  </si>
  <si>
    <t>Status</t>
  </si>
  <si>
    <t>DRAFT</t>
  </si>
  <si>
    <t>Export</t>
  </si>
  <si>
    <t>NOT OFFICIAL</t>
  </si>
  <si>
    <t>Snapshot ID</t>
  </si>
  <si>
    <t>golden-snapshot-gt07-gt09-v1</t>
  </si>
  <si>
    <t>Generated At</t>
  </si>
  <si>
    <t>2026-08-31T00:00:00.000Z</t>
  </si>
  <si>
    <t>field</t>
  </si>
  <si>
    <t>value</t>
  </si>
  <si>
    <t>project_id</t>
  </si>
  <si>
    <t>project_name</t>
  </si>
  <si>
    <t>status</t>
  </si>
  <si>
    <t>snapshot_id</t>
  </si>
  <si>
    <t>oh_profit_rate</t>
  </si>
  <si>
    <t>0.10</t>
  </si>
  <si>
    <t>ppn_rate</t>
  </si>
  <si>
    <t>0.11</t>
  </si>
  <si>
    <t>rounding_unit</t>
  </si>
  <si>
    <t>rounding_method</t>
  </si>
  <si>
    <t>HALF_UP</t>
  </si>
  <si>
    <t>currency</t>
  </si>
  <si>
    <t>IDR</t>
  </si>
  <si>
    <t>excel_contract_version</t>
  </si>
  <si>
    <t>12</t>
  </si>
  <si>
    <t>group_id</t>
  </si>
  <si>
    <t>group_order</t>
  </si>
  <si>
    <t>group_code</t>
  </si>
  <si>
    <t>group_name</t>
  </si>
  <si>
    <t>group_subtotal</t>
  </si>
  <si>
    <t>GROUP-1</t>
  </si>
  <si>
    <t/>
  </si>
  <si>
    <t>Ungrouped</t>
  </si>
  <si>
    <t>subtotal_rab</t>
  </si>
  <si>
    <t>ppn_value</t>
  </si>
  <si>
    <t>total_before_rounding</t>
  </si>
  <si>
    <t>total_final</t>
  </si>
  <si>
    <t>rounding_difference</t>
  </si>
  <si>
    <t>item_id</t>
  </si>
  <si>
    <t>item_order</t>
  </si>
  <si>
    <t>item_name</t>
  </si>
  <si>
    <t>subgroup_id</t>
  </si>
  <si>
    <t>subgroup_name</t>
  </si>
  <si>
    <t>volume_unit_raw</t>
  </si>
  <si>
    <t>volume_unit_canonical</t>
  </si>
  <si>
    <t>volume_source_type</t>
  </si>
  <si>
    <t>bv_id</t>
  </si>
  <si>
    <t>direct_volume</t>
  </si>
  <si>
    <t>direct_basis</t>
  </si>
  <si>
    <t>direct_source</t>
  </si>
  <si>
    <t>direct_note</t>
  </si>
  <si>
    <t>direct_reviewer</t>
  </si>
  <si>
    <t>volume</t>
  </si>
  <si>
    <t>hsp_id</t>
  </si>
  <si>
    <t>hsp_type</t>
  </si>
  <si>
    <t>hsp_unit_canonical</t>
  </si>
  <si>
    <t>unit_check</t>
  </si>
  <si>
    <t>hsp_value</t>
  </si>
  <si>
    <t>item_amount</t>
  </si>
  <si>
    <t>warning_code</t>
  </si>
  <si>
    <t>error_code</t>
  </si>
  <si>
    <t>gt09-item-1</t>
  </si>
  <si>
    <t>Pekerjaan tanah — GT-09</t>
  </si>
  <si>
    <t>m3</t>
  </si>
  <si>
    <t>BV</t>
  </si>
  <si>
    <t>gt09-bv</t>
  </si>
  <si>
    <t>gt07-hsp</t>
  </si>
  <si>
    <t>AHSP</t>
  </si>
  <si>
    <t>bv_line_id</t>
  </si>
  <si>
    <t>rab_item_id</t>
  </si>
  <si>
    <t>line_order</t>
  </si>
  <si>
    <t>line_role</t>
  </si>
  <si>
    <t>description</t>
  </si>
  <si>
    <t>formula_template_key</t>
  </si>
  <si>
    <t>formula_template_version</t>
  </si>
  <si>
    <t>formula_display</t>
  </si>
  <si>
    <t>unit_raw</t>
  </si>
  <si>
    <t>unit_canonical</t>
  </si>
  <si>
    <t>volume_calc</t>
  </si>
  <si>
    <t>is_result</t>
  </si>
  <si>
    <t>dimension_source</t>
  </si>
  <si>
    <t>note</t>
  </si>
  <si>
    <t>parent_bv_line_id</t>
  </si>
  <si>
    <t>ref_bv_line_id</t>
  </si>
  <si>
    <t>gt09-child-1</t>
  </si>
  <si>
    <t>DETAIL</t>
  </si>
  <si>
    <t>GT-09 child 1</t>
  </si>
  <si>
    <t>SCALAR_VALUE</t>
  </si>
  <si>
    <t>1</t>
  </si>
  <si>
    <t>1.296</t>
  </si>
  <si>
    <t>golden-reference</t>
  </si>
  <si>
    <t>gt09-result</t>
  </si>
  <si>
    <t>gt09-child-2</t>
  </si>
  <si>
    <t>GT-09 child 2</t>
  </si>
  <si>
    <t>6.48</t>
  </si>
  <si>
    <t>gt09-child-3</t>
  </si>
  <si>
    <t>GT-09 child 3</t>
  </si>
  <si>
    <t>23.328</t>
  </si>
  <si>
    <t>gt09-child-4</t>
  </si>
  <si>
    <t>GT-09 child 4</t>
  </si>
  <si>
    <t>18.144</t>
  </si>
  <si>
    <t>gt09-child-5</t>
  </si>
  <si>
    <t>GT-09 child 5</t>
  </si>
  <si>
    <t>3.7845</t>
  </si>
  <si>
    <t>gt09-child-6</t>
  </si>
  <si>
    <t>GT-09 child 6</t>
  </si>
  <si>
    <t>gt09-child-7</t>
  </si>
  <si>
    <t>GT-09 child 7</t>
  </si>
  <si>
    <t>20.025</t>
  </si>
  <si>
    <t>RESULT</t>
  </si>
  <si>
    <t>GT-09 summed volume</t>
  </si>
  <si>
    <t>SUM_CHILDREN</t>
  </si>
  <si>
    <t>SUM of GT-09 child volumes</t>
  </si>
  <si>
    <t>ahsp_id</t>
  </si>
  <si>
    <t>source_edition</t>
  </si>
  <si>
    <t>official_code</t>
  </si>
  <si>
    <t>official_description</t>
  </si>
  <si>
    <t>source_locator</t>
  </si>
  <si>
    <t>work_unit_raw</t>
  </si>
  <si>
    <t>work_unit_canonical</t>
  </si>
  <si>
    <t>manual_description</t>
  </si>
  <si>
    <t>manual_hsp</t>
  </si>
  <si>
    <t>manual_note</t>
  </si>
  <si>
    <t>labor_subtotal</t>
  </si>
  <si>
    <t>material_subtotal</t>
  </si>
  <si>
    <t>equipment_subtotal</t>
  </si>
  <si>
    <t>direct_cost</t>
  </si>
  <si>
    <t>oh_rate</t>
  </si>
  <si>
    <t>oh_value</t>
  </si>
  <si>
    <t>gt07-ahsp</t>
  </si>
  <si>
    <t>SE Dirjen Bina Konstruksi 47/SE/Dk/2026</t>
  </si>
  <si>
    <t>1.2.1.1.1</t>
  </si>
  <si>
    <t>Pekerjaan tanah</t>
  </si>
  <si>
    <t>Masterfile AHSP CK.xlsx / AHSP!C626:I638</t>
  </si>
  <si>
    <t>ahsp_component_id</t>
  </si>
  <si>
    <t>source_order</t>
  </si>
  <si>
    <t>component_group</t>
  </si>
  <si>
    <t>source_resource_name</t>
  </si>
  <si>
    <t>source_resource_code</t>
  </si>
  <si>
    <t>source_unit_raw</t>
  </si>
  <si>
    <t>source_unit_canonical</t>
  </si>
  <si>
    <t>resource_id</t>
  </si>
  <si>
    <t>coefficient</t>
  </si>
  <si>
    <t>price_unit</t>
  </si>
  <si>
    <t>price_value</t>
  </si>
  <si>
    <t>price_state</t>
  </si>
  <si>
    <t>component_cost</t>
  </si>
  <si>
    <t>gt07-comp-1</t>
  </si>
  <si>
    <t>TENAGA</t>
  </si>
  <si>
    <t>Pekerja</t>
  </si>
  <si>
    <t>OH</t>
  </si>
  <si>
    <t>gt07-resource-1</t>
  </si>
  <si>
    <t>0.75</t>
  </si>
  <si>
    <t>176000</t>
  </si>
  <si>
    <t>SET</t>
  </si>
  <si>
    <t>gt07-comp-2</t>
  </si>
  <si>
    <t>Mandor</t>
  </si>
  <si>
    <t>gt07-resource-2</t>
  </si>
  <si>
    <t>0.038</t>
  </si>
  <si>
    <t>206000</t>
  </si>
  <si>
    <t>resource_type</t>
  </si>
  <si>
    <t>normative_code</t>
  </si>
  <si>
    <t>resource_name</t>
  </si>
  <si>
    <t>unit_raw_reference</t>
  </si>
  <si>
    <t>hsp_description</t>
  </si>
  <si>
    <t>check_id</t>
  </si>
  <si>
    <t>severity</t>
  </si>
  <si>
    <t>scope</t>
  </si>
  <si>
    <t>check_origin</t>
  </si>
  <si>
    <t>result</t>
  </si>
  <si>
    <t>difference</t>
  </si>
  <si>
    <t>message</t>
  </si>
  <si>
    <t>blocking_review</t>
  </si>
  <si>
    <t>warning_confirmation_required</t>
  </si>
  <si>
    <t>warning_confirmation_status</t>
  </si>
  <si>
    <t>confirmed_by</t>
  </si>
  <si>
    <t>confirmed_at</t>
  </si>
  <si>
    <t>C-EXT-001</t>
  </si>
  <si>
    <t>ERROR</t>
  </si>
  <si>
    <t>WORKBOOK</t>
  </si>
  <si>
    <t>EXPORTER</t>
  </si>
  <si>
    <t>PASS</t>
  </si>
  <si>
    <t>0</t>
  </si>
  <si>
    <t>No external workbook links are generated</t>
  </si>
  <si>
    <t>NOT_REQUIRED</t>
  </si>
  <si>
    <t>C-FORM-001</t>
  </si>
  <si>
    <t>FORMULA</t>
  </si>
  <si>
    <t>Formula columns are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</si>
</sst>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44B4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 applyProtection="1">
      <alignment vertical="top" wrapText="1"/>
    </xf>
    <xf numFmtId="0" fontId="2" fillId="2" borderId="0" xfId="0" applyFont="1" applyFill="1"/>
    <xf numFmtId="0" fontId="2" fillId="2" borderId="0" xfId="0" applyFont="1" applyFill="1" applyAlignment="1" applyProtection="1">
      <alignment vertical="top" wrapText="1"/>
    </xf>
    <xf numFmtId="0" fontId="2" fillId="2" borderId="0" xfId="0" applyFont="1" applyFill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_PROJECT" displayName="tbl_PROJECT" ref="A6:B16" totalsRowShown="1" headerRowCount="1">
  <autoFilter ref="A6:B16">
    <filterColumn colId="0" hiddenButton="1"/>
    <filterColumn colId="1" hiddenButton="1"/>
  </autoFilter>
  <tableColumns count="2">
    <tableColumn id="1" name="field" totalsRowLabel="Total"/>
    <tableColumn id="2" name="value" totalsRowFunction="non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_REKAP" displayName="tbl_REKAP" ref="A6:E7" totalsRowShown="1" headerRowCount="1">
  <autoFilter ref="A6:E7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group_id" totalsRowLabel="Total"/>
    <tableColumn id="2" name="group_order" totalsRowFunction="none"/>
    <tableColumn id="3" name="group_code" totalsRowFunction="none"/>
    <tableColumn id="4" name="group_name" totalsRowFunction="none"/>
    <tableColumn id="5" name="group_subtotal" totalsRowFunction="non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_RAB" displayName="tbl_RAB" ref="A6:Y7" totalsRowShown="1" headerRowCount="1">
  <autoFilter ref="A6:Y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item_id" totalsRowLabel="Total"/>
    <tableColumn id="2" name="item_order" totalsRowFunction="none"/>
    <tableColumn id="3" name="item_name" totalsRowFunction="none"/>
    <tableColumn id="4" name="group_id" totalsRowFunction="none"/>
    <tableColumn id="5" name="group_name" totalsRowFunction="none"/>
    <tableColumn id="6" name="subgroup_id" totalsRowFunction="none"/>
    <tableColumn id="7" name="subgroup_name" totalsRowFunction="none"/>
    <tableColumn id="8" name="volume_unit_raw" totalsRowFunction="none"/>
    <tableColumn id="9" name="volume_unit_canonical" totalsRowFunction="none"/>
    <tableColumn id="10" name="volume_source_type" totalsRowFunction="none"/>
    <tableColumn id="11" name="bv_id" totalsRowFunction="none"/>
    <tableColumn id="12" name="direct_volume" totalsRowFunction="none"/>
    <tableColumn id="13" name="direct_basis" totalsRowFunction="none"/>
    <tableColumn id="14" name="direct_source" totalsRowFunction="none"/>
    <tableColumn id="15" name="direct_note" totalsRowFunction="none"/>
    <tableColumn id="16" name="direct_reviewer" totalsRowFunction="none"/>
    <tableColumn id="17" name="volume" totalsRowFunction="none"/>
    <tableColumn id="18" name="hsp_id" totalsRowFunction="none"/>
    <tableColumn id="19" name="hsp_type" totalsRowFunction="none"/>
    <tableColumn id="20" name="hsp_unit_canonical" totalsRowFunction="none"/>
    <tableColumn id="21" name="unit_check" totalsRowFunction="none"/>
    <tableColumn id="22" name="hsp_value" totalsRowFunction="none"/>
    <tableColumn id="23" name="item_amount" totalsRowFunction="none"/>
    <tableColumn id="24" name="warning_code" totalsRowFunction="none"/>
    <tableColumn id="25" name="error_code" totalsRowFunction="non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_BV" displayName="tbl_BV" ref="A6:Q14" totalsRowShown="1" headerRowCount="1">
  <autoFilter ref="A6:Q1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bv_id" totalsRowLabel="Total"/>
    <tableColumn id="2" name="bv_line_id" totalsRowFunction="none"/>
    <tableColumn id="3" name="rab_item_id" totalsRowFunction="none"/>
    <tableColumn id="4" name="line_order" totalsRowFunction="none"/>
    <tableColumn id="5" name="line_role" totalsRowFunction="none"/>
    <tableColumn id="6" name="description" totalsRowFunction="none"/>
    <tableColumn id="7" name="formula_template_key" totalsRowFunction="none"/>
    <tableColumn id="8" name="formula_template_version" totalsRowFunction="none"/>
    <tableColumn id="9" name="formula_display" totalsRowFunction="none"/>
    <tableColumn id="10" name="unit_raw" totalsRowFunction="none"/>
    <tableColumn id="11" name="unit_canonical" totalsRowFunction="none"/>
    <tableColumn id="12" name="volume_calc" totalsRowFunction="none"/>
    <tableColumn id="13" name="is_result" totalsRowFunction="none"/>
    <tableColumn id="14" name="dimension_source" totalsRowFunction="none"/>
    <tableColumn id="15" name="note" totalsRowFunction="none"/>
    <tableColumn id="16" name="parent_bv_line_id" totalsRowFunction="none"/>
    <tableColumn id="17" name="ref_bv_line_id" totalsRowFunction="non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_HSP" displayName="tbl_HSP" ref="A6:S7" totalsRowShown="1" headerRowCount="1">
  <autoFilter ref="A6:S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hsp_id" totalsRowLabel="Total"/>
    <tableColumn id="2" name="hsp_type" totalsRowFunction="none"/>
    <tableColumn id="3" name="ahsp_id" totalsRowFunction="none"/>
    <tableColumn id="4" name="source_edition" totalsRowFunction="none"/>
    <tableColumn id="5" name="official_code" totalsRowFunction="none"/>
    <tableColumn id="6" name="official_description" totalsRowFunction="none"/>
    <tableColumn id="7" name="source_locator" totalsRowFunction="none"/>
    <tableColumn id="8" name="work_unit_raw" totalsRowFunction="none"/>
    <tableColumn id="9" name="work_unit_canonical" totalsRowFunction="none"/>
    <tableColumn id="10" name="manual_description" totalsRowFunction="none"/>
    <tableColumn id="11" name="manual_hsp" totalsRowFunction="none"/>
    <tableColumn id="12" name="manual_note" totalsRowFunction="none"/>
    <tableColumn id="13" name="labor_subtotal" totalsRowFunction="none"/>
    <tableColumn id="14" name="material_subtotal" totalsRowFunction="none"/>
    <tableColumn id="15" name="equipment_subtotal" totalsRowFunction="none"/>
    <tableColumn id="16" name="direct_cost" totalsRowFunction="none"/>
    <tableColumn id="17" name="oh_rate" totalsRowFunction="none"/>
    <tableColumn id="18" name="oh_value" totalsRowFunction="none"/>
    <tableColumn id="19" name="hsp_value" totalsRowFunction="none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_AHSP_COMP" displayName="tbl_AHSP_COMP" ref="A6:P8" totalsRowShown="1" headerRowCount="1">
  <autoFilter ref="A6:P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name="ahsp_component_id" totalsRowLabel="Total"/>
    <tableColumn id="2" name="ahsp_id" totalsRowFunction="none"/>
    <tableColumn id="3" name="hsp_id" totalsRowFunction="none"/>
    <tableColumn id="4" name="source_order" totalsRowFunction="none"/>
    <tableColumn id="5" name="component_group" totalsRowFunction="none"/>
    <tableColumn id="6" name="source_resource_name" totalsRowFunction="none"/>
    <tableColumn id="7" name="source_resource_code" totalsRowFunction="none"/>
    <tableColumn id="8" name="source_unit_raw" totalsRowFunction="none"/>
    <tableColumn id="9" name="source_unit_canonical" totalsRowFunction="none"/>
    <tableColumn id="10" name="resource_id" totalsRowFunction="none"/>
    <tableColumn id="11" name="coefficient" totalsRowFunction="none"/>
    <tableColumn id="12" name="price_unit" totalsRowFunction="none"/>
    <tableColumn id="13" name="price_value" totalsRowFunction="none"/>
    <tableColumn id="14" name="price_state" totalsRowFunction="none"/>
    <tableColumn id="15" name="component_cost" totalsRowFunction="none"/>
    <tableColumn id="16" name="source_locator" totalsRowFunction="none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_RESOURCE" displayName="tbl_RESOURCE" ref="A6:J8" totalsRowShown="1" headerRowCount="1">
  <autoFilter ref="A6:J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resource_id" totalsRowLabel="Total"/>
    <tableColumn id="2" name="resource_type" totalsRowFunction="none"/>
    <tableColumn id="3" name="normative_code" totalsRowFunction="none"/>
    <tableColumn id="4" name="resource_name" totalsRowFunction="none"/>
    <tableColumn id="5" name="unit_raw_reference" totalsRowFunction="none"/>
    <tableColumn id="6" name="unit_canonical" totalsRowFunction="none"/>
    <tableColumn id="7" name="price_unit" totalsRowFunction="none"/>
    <tableColumn id="8" name="price_value" totalsRowFunction="none"/>
    <tableColumn id="9" name="price_state" totalsRowFunction="none"/>
    <tableColumn id="10" name="snapshot_id" totalsRowFunction="none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_HSP_MAP" displayName="tbl_HSP_MAP" ref="A6:M7" totalsRowShown="1" headerRowCount="1">
  <autoFilter ref="A6:M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item_id" totalsRowLabel="Total"/>
    <tableColumn id="2" name="item_name" totalsRowFunction="none"/>
    <tableColumn id="3" name="group_id" totalsRowFunction="none"/>
    <tableColumn id="4" name="group_name" totalsRowFunction="none"/>
    <tableColumn id="5" name="subgroup_id" totalsRowFunction="none"/>
    <tableColumn id="6" name="subgroup_name" totalsRowFunction="none"/>
    <tableColumn id="7" name="hsp_id" totalsRowFunction="none"/>
    <tableColumn id="8" name="hsp_type" totalsRowFunction="none"/>
    <tableColumn id="9" name="official_code" totalsRowFunction="none"/>
    <tableColumn id="10" name="hsp_description" totalsRowFunction="none"/>
    <tableColumn id="11" name="volume" totalsRowFunction="none"/>
    <tableColumn id="12" name="item_amount" totalsRowFunction="none"/>
    <tableColumn id="13" name="group_subtotal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_CHECKS" displayName="tbl_CHECKS" ref="A6:L8" totalsRowShown="1" headerRowCount="1">
  <autoFilter ref="A6:L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check_id" totalsRowLabel="Total"/>
    <tableColumn id="2" name="severity" totalsRowFunction="none"/>
    <tableColumn id="3" name="scope" totalsRowFunction="none"/>
    <tableColumn id="4" name="check_origin" totalsRowFunction="none"/>
    <tableColumn id="5" name="result" totalsRowFunction="none"/>
    <tableColumn id="6" name="difference" totalsRowFunction="none"/>
    <tableColumn id="7" name="message" totalsRowFunction="none"/>
    <tableColumn id="8" name="blocking_review" totalsRowFunction="none"/>
    <tableColumn id="9" name="warning_confirmation_required" totalsRowFunction="none"/>
    <tableColumn id="10" name="warning_confirmation_status" totalsRowFunction="none"/>
    <tableColumn id="11" name="confirmed_by" totalsRowFunction="none"/>
    <tableColumn id="12" name="confirmed_at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1" t="s">
        <v>5</v>
      </c>
      <c r="C2" s="1" t="s">
        <v>6</v>
      </c>
      <c r="D2" s="1">
        <v>1</v>
      </c>
    </row>
    <row r="3" spans="1:4" x14ac:dyDescent="0.25">
      <c r="A3" s="1" t="s">
        <v>7</v>
      </c>
      <c r="B3" s="1" t="s">
        <v>8</v>
      </c>
      <c r="C3" s="1" t="s">
        <v>9</v>
      </c>
      <c r="D3" s="1" t="s">
        <v>10</v>
      </c>
    </row>
    <row r="4" spans="1:4" x14ac:dyDescent="0.25">
      <c r="A4" s="1" t="s">
        <v>11</v>
      </c>
      <c r="B4" s="1" t="s">
        <v>12</v>
      </c>
      <c r="C4" s="1" t="s">
        <v>13</v>
      </c>
      <c r="D4" s="1" t="s">
        <v>14</v>
      </c>
    </row>
    <row r="6" spans="1:3" s="2" customFormat="1" x14ac:dyDescent="0.25">
      <c r="A6" s="3" t="s">
        <v>15</v>
      </c>
      <c r="B6" s="4" t="s">
        <v>16</v>
      </c>
      <c r="C6" s="3" t="s">
        <v>16</v>
      </c>
    </row>
    <row r="7" spans="1:2" x14ac:dyDescent="0.25">
      <c r="A7" s="5" t="s">
        <v>17</v>
      </c>
      <c r="B7" s="5" t="s">
        <v>3</v>
      </c>
    </row>
    <row r="8" spans="1:2" x14ac:dyDescent="0.25">
      <c r="A8" s="5" t="s">
        <v>18</v>
      </c>
      <c r="B8" s="5" t="s">
        <v>1</v>
      </c>
    </row>
    <row r="9" spans="1:2" x14ac:dyDescent="0.25">
      <c r="A9" s="5" t="s">
        <v>19</v>
      </c>
      <c r="B9" s="5" t="s">
        <v>8</v>
      </c>
    </row>
    <row r="10" spans="1:2" x14ac:dyDescent="0.25">
      <c r="A10" s="5" t="s">
        <v>20</v>
      </c>
      <c r="B10" s="5" t="s">
        <v>5</v>
      </c>
    </row>
    <row r="11" spans="1:2" x14ac:dyDescent="0.25">
      <c r="A11" s="5" t="s">
        <v>21</v>
      </c>
      <c r="B11" s="5" t="s">
        <v>22</v>
      </c>
    </row>
    <row r="12" spans="1:2" x14ac:dyDescent="0.25">
      <c r="A12" s="5" t="s">
        <v>23</v>
      </c>
      <c r="B12" s="5" t="s">
        <v>24</v>
      </c>
    </row>
    <row r="13" spans="1:2" x14ac:dyDescent="0.25">
      <c r="A13" s="5" t="s">
        <v>25</v>
      </c>
      <c r="B13" s="5">
        <v>1000</v>
      </c>
    </row>
    <row r="14" spans="1:2" x14ac:dyDescent="0.25">
      <c r="A14" s="5" t="s">
        <v>26</v>
      </c>
      <c r="B14" s="5" t="s">
        <v>27</v>
      </c>
    </row>
    <row r="15" spans="1:2" x14ac:dyDescent="0.25">
      <c r="A15" s="5" t="s">
        <v>28</v>
      </c>
      <c r="B15" s="5" t="s">
        <v>29</v>
      </c>
    </row>
    <row r="16" spans="1:2" x14ac:dyDescent="0.25">
      <c r="A16" s="5" t="s">
        <v>30</v>
      </c>
      <c r="B16" s="5" t="s">
        <v>31</v>
      </c>
    </row>
  </sheetData>
  <sheetProtection sheet="1" algorithmName="SHA-512" hashValue="beJgpJEiG9tPkj3toE1fz44usERRtxD4RAvcSfVDb5LzWx7iAx6/tq42/8S8lkk3S3LfDeUjEWK73lZNmXfm2w==" saltValue="TnCR3/lh7JIm/lTXzHlnUw==" spinCount="100000"/>
  <autoFilter ref="A6:B16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13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6" width="14" customWidth="1"/>
  </cols>
  <sheetData>
    <row r="6" spans="1:6" s="2" customFormat="1" x14ac:dyDescent="0.25">
      <c r="A6" s="3" t="s">
        <v>32</v>
      </c>
      <c r="B6" s="4" t="s">
        <v>33</v>
      </c>
      <c r="C6" s="3" t="s">
        <v>34</v>
      </c>
      <c r="D6" s="3" t="s">
        <v>35</v>
      </c>
      <c r="E6" s="3" t="s">
        <v>36</v>
      </c>
      <c r="F6" s="3" t="s">
        <v>36</v>
      </c>
    </row>
    <row r="7" spans="1:5" x14ac:dyDescent="0.25">
      <c r="A7" s="5" t="s">
        <v>37</v>
      </c>
      <c r="B7" s="5">
        <v>1</v>
      </c>
      <c r="C7" s="5" t="s">
        <v>38</v>
      </c>
      <c r="D7" s="5" t="s">
        <v>39</v>
      </c>
      <c r="E7" s="5" t="str">
        <f>=SUMIFS(tbl_RAB[item_amount],tbl_RAB[group_id],[@group_id])</f>
        <v>11436371.3178</v>
      </c>
    </row>
    <row r="8" spans="1:2" x14ac:dyDescent="0.25">
      <c r="A8" s="6" t="s">
        <v>40</v>
      </c>
      <c r="B8" s="6" t="str">
        <f>=SUM(tbl_REKAP[group_subtotal])</f>
        <v>11436371.3178</v>
      </c>
    </row>
    <row r="9" spans="1:2" x14ac:dyDescent="0.25">
      <c r="A9" s="6" t="s">
        <v>23</v>
      </c>
      <c r="B9" s="6" t="str">
        <f>=P_PPN_RATE</f>
        <v>0.11</v>
      </c>
    </row>
    <row r="10" spans="1:2" x14ac:dyDescent="0.25">
      <c r="A10" s="6" t="s">
        <v>41</v>
      </c>
      <c r="B10" s="6" t="str">
        <f>=B8*B9</f>
        <v>1258000.844958</v>
      </c>
    </row>
    <row r="11" spans="1:2" x14ac:dyDescent="0.25">
      <c r="A11" s="6" t="s">
        <v>42</v>
      </c>
      <c r="B11" s="6" t="str">
        <f>=B8+B10</f>
        <v>12694372.162758</v>
      </c>
    </row>
    <row r="12" spans="1:2" x14ac:dyDescent="0.25">
      <c r="A12" s="6" t="s">
        <v>43</v>
      </c>
      <c r="B12" s="6" t="str">
        <f>=INT((B11+500)/1000)*1000</f>
        <v>12694000</v>
      </c>
    </row>
    <row r="13" spans="1:2" x14ac:dyDescent="0.25">
      <c r="A13" s="6" t="s">
        <v>44</v>
      </c>
      <c r="B13" s="6" t="str">
        <f>=B12-B11</f>
        <v>-372.162758</v>
      </c>
    </row>
  </sheetData>
  <sheetProtection sheet="1" algorithmName="SHA-512" hashValue="PW5D1+uaGuHPkfZKp1GqSr2cKkh2yLbfcGRQsRUYabBmRpMq+vHvJoPmiDMv/xgJ3FvWwzuvgyQydCWtD+l6Iw==" saltValue="oeB6KiQTo5NONV/Qdn8fng==" spinCount="100000"/>
  <autoFilter ref="A6:E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Z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26" width="14" customWidth="1"/>
  </cols>
  <sheetData>
    <row r="6" spans="1:26" s="2" customFormat="1" x14ac:dyDescent="0.25">
      <c r="A6" s="3" t="s">
        <v>45</v>
      </c>
      <c r="B6" s="4" t="s">
        <v>46</v>
      </c>
      <c r="C6" s="3" t="s">
        <v>47</v>
      </c>
      <c r="D6" s="3" t="s">
        <v>32</v>
      </c>
      <c r="E6" s="3" t="s">
        <v>35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 t="s">
        <v>55</v>
      </c>
      <c r="N6" s="3" t="s">
        <v>56</v>
      </c>
      <c r="O6" s="3" t="s">
        <v>57</v>
      </c>
      <c r="P6" s="3" t="s">
        <v>58</v>
      </c>
      <c r="Q6" s="3" t="s">
        <v>59</v>
      </c>
      <c r="R6" s="3" t="s">
        <v>60</v>
      </c>
      <c r="S6" s="3" t="s">
        <v>61</v>
      </c>
      <c r="T6" s="3" t="s">
        <v>62</v>
      </c>
      <c r="U6" s="3" t="s">
        <v>63</v>
      </c>
      <c r="V6" s="3" t="s">
        <v>64</v>
      </c>
      <c r="W6" s="3" t="s">
        <v>65</v>
      </c>
      <c r="X6" s="3" t="s">
        <v>66</v>
      </c>
      <c r="Y6" s="3" t="s">
        <v>67</v>
      </c>
      <c r="Z6" s="3" t="s">
        <v>67</v>
      </c>
    </row>
    <row r="7" spans="1:25" x14ac:dyDescent="0.25">
      <c r="A7" s="5" t="s">
        <v>68</v>
      </c>
      <c r="B7" s="5">
        <v>1</v>
      </c>
      <c r="C7" s="5" t="s">
        <v>69</v>
      </c>
      <c r="D7" s="5" t="s">
        <v>37</v>
      </c>
      <c r="E7" s="5" t="s">
        <v>39</v>
      </c>
      <c r="F7" s="5" t="s">
        <v>38</v>
      </c>
      <c r="G7" s="5" t="s">
        <v>38</v>
      </c>
      <c r="H7" s="5" t="s">
        <v>70</v>
      </c>
      <c r="I7" s="5" t="s">
        <v>70</v>
      </c>
      <c r="J7" s="5" t="s">
        <v>71</v>
      </c>
      <c r="K7" s="5" t="s">
        <v>72</v>
      </c>
      <c r="L7" s="5" t="s">
        <v>38</v>
      </c>
      <c r="M7" s="5" t="s">
        <v>38</v>
      </c>
      <c r="N7" s="5" t="s">
        <v>38</v>
      </c>
      <c r="O7" s="5" t="s">
        <v>38</v>
      </c>
      <c r="P7" s="5" t="s">
        <v>38</v>
      </c>
      <c r="Q7" s="5" t="str">
        <f>=SUMIFS(tbl_BV[volume_calc],tbl_BV[bv_id],[@bv_id],tbl_BV[is_result],TRUE)</f>
        <v>74.3535</v>
      </c>
      <c r="R7" s="5" t="s">
        <v>73</v>
      </c>
      <c r="S7" s="5" t="s">
        <v>74</v>
      </c>
      <c r="T7" s="5" t="s">
        <v>70</v>
      </c>
      <c r="U7" s="5" t="str">
        <f>=IF([@volume_unit_canonical]=[@hsp_unit_canonical],"OK","ERROR")</f>
        <v>OK</v>
      </c>
      <c r="V7" s="5" t="str">
        <f>=INDEX(tbl_HSP[hsp_value],MATCH([@hsp_id],tbl_HSP[hsp_id],0))</f>
        <v>153810.8</v>
      </c>
      <c r="W7" s="5" t="str">
        <f>=[@volume]*[@hsp_value]</f>
        <v>11436371.3178</v>
      </c>
      <c r="X7" s="5" t="s">
        <v>38</v>
      </c>
      <c r="Y7" s="5" t="s">
        <v>38</v>
      </c>
    </row>
  </sheetData>
  <sheetProtection sheet="1" algorithmName="SHA-512" hashValue="nRk4e4GdHef9Dq2Un5hcNBjAheyKSHUTVTKzFaYirdLeGoU0DZUYgQzNOwrRSuJRxYA9WC9wgSQF2O9OEeKZxA==" saltValue="aXXtKR56SdHpv0t8i5ilkg==" spinCount="100000"/>
  <autoFilter ref="A6:Y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R1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8" width="14" customWidth="1"/>
  </cols>
  <sheetData>
    <row r="6" spans="1:18" s="2" customFormat="1" x14ac:dyDescent="0.25">
      <c r="A6" s="3" t="s">
        <v>53</v>
      </c>
      <c r="B6" s="4" t="s">
        <v>75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81</v>
      </c>
      <c r="I6" s="3" t="s">
        <v>82</v>
      </c>
      <c r="J6" s="3" t="s">
        <v>83</v>
      </c>
      <c r="K6" s="3" t="s">
        <v>84</v>
      </c>
      <c r="L6" s="3" t="s">
        <v>85</v>
      </c>
      <c r="M6" s="3" t="s">
        <v>86</v>
      </c>
      <c r="N6" s="3" t="s">
        <v>87</v>
      </c>
      <c r="O6" s="3" t="s">
        <v>88</v>
      </c>
      <c r="P6" s="3" t="s">
        <v>89</v>
      </c>
      <c r="Q6" s="3" t="s">
        <v>90</v>
      </c>
      <c r="R6" s="3" t="s">
        <v>90</v>
      </c>
    </row>
    <row r="7" spans="1:17" x14ac:dyDescent="0.25">
      <c r="A7" s="5" t="s">
        <v>72</v>
      </c>
      <c r="B7" s="5" t="s">
        <v>91</v>
      </c>
      <c r="C7" s="5" t="s">
        <v>68</v>
      </c>
      <c r="D7" s="5">
        <v>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70</v>
      </c>
      <c r="K7" s="5" t="s">
        <v>70</v>
      </c>
      <c r="L7" s="5" t="str">
        <f>=1.296</f>
        <v>1.296</v>
      </c>
      <c r="M7" s="5" t="b">
        <v>0</v>
      </c>
      <c r="N7" s="5" t="s">
        <v>97</v>
      </c>
      <c r="O7" s="5" t="s">
        <v>38</v>
      </c>
      <c r="P7" s="5" t="s">
        <v>98</v>
      </c>
      <c r="Q7" s="5" t="s">
        <v>38</v>
      </c>
    </row>
    <row r="8" spans="1:17" x14ac:dyDescent="0.25">
      <c r="A8" s="5" t="s">
        <v>72</v>
      </c>
      <c r="B8" s="5" t="s">
        <v>99</v>
      </c>
      <c r="C8" s="5" t="s">
        <v>68</v>
      </c>
      <c r="D8" s="5">
        <v>2</v>
      </c>
      <c r="E8" s="5" t="s">
        <v>92</v>
      </c>
      <c r="F8" s="5" t="s">
        <v>100</v>
      </c>
      <c r="G8" s="5" t="s">
        <v>94</v>
      </c>
      <c r="H8" s="5" t="s">
        <v>95</v>
      </c>
      <c r="I8" s="5" t="s">
        <v>101</v>
      </c>
      <c r="J8" s="5" t="s">
        <v>70</v>
      </c>
      <c r="K8" s="5" t="s">
        <v>70</v>
      </c>
      <c r="L8" s="5" t="str">
        <f>=6.48</f>
        <v>6.48</v>
      </c>
      <c r="M8" s="5" t="b">
        <v>0</v>
      </c>
      <c r="N8" s="5" t="s">
        <v>97</v>
      </c>
      <c r="O8" s="5" t="s">
        <v>38</v>
      </c>
      <c r="P8" s="5" t="s">
        <v>98</v>
      </c>
      <c r="Q8" s="5" t="s">
        <v>38</v>
      </c>
    </row>
    <row r="9" spans="1:17" x14ac:dyDescent="0.25">
      <c r="A9" s="5" t="s">
        <v>72</v>
      </c>
      <c r="B9" s="5" t="s">
        <v>102</v>
      </c>
      <c r="C9" s="5" t="s">
        <v>68</v>
      </c>
      <c r="D9" s="5">
        <v>3</v>
      </c>
      <c r="E9" s="5" t="s">
        <v>92</v>
      </c>
      <c r="F9" s="5" t="s">
        <v>103</v>
      </c>
      <c r="G9" s="5" t="s">
        <v>94</v>
      </c>
      <c r="H9" s="5" t="s">
        <v>95</v>
      </c>
      <c r="I9" s="5" t="s">
        <v>104</v>
      </c>
      <c r="J9" s="5" t="s">
        <v>70</v>
      </c>
      <c r="K9" s="5" t="s">
        <v>70</v>
      </c>
      <c r="L9" s="5" t="str">
        <f>=23.328</f>
        <v>23.328</v>
      </c>
      <c r="M9" s="5" t="b">
        <v>0</v>
      </c>
      <c r="N9" s="5" t="s">
        <v>97</v>
      </c>
      <c r="O9" s="5" t="s">
        <v>38</v>
      </c>
      <c r="P9" s="5" t="s">
        <v>98</v>
      </c>
      <c r="Q9" s="5" t="s">
        <v>38</v>
      </c>
    </row>
    <row r="10" spans="1:17" x14ac:dyDescent="0.25">
      <c r="A10" s="5" t="s">
        <v>72</v>
      </c>
      <c r="B10" s="5" t="s">
        <v>105</v>
      </c>
      <c r="C10" s="5" t="s">
        <v>68</v>
      </c>
      <c r="D10" s="5">
        <v>4</v>
      </c>
      <c r="E10" s="5" t="s">
        <v>92</v>
      </c>
      <c r="F10" s="5" t="s">
        <v>106</v>
      </c>
      <c r="G10" s="5" t="s">
        <v>94</v>
      </c>
      <c r="H10" s="5" t="s">
        <v>95</v>
      </c>
      <c r="I10" s="5" t="s">
        <v>107</v>
      </c>
      <c r="J10" s="5" t="s">
        <v>70</v>
      </c>
      <c r="K10" s="5" t="s">
        <v>70</v>
      </c>
      <c r="L10" s="5" t="str">
        <f>=18.144</f>
        <v>18.144</v>
      </c>
      <c r="M10" s="5" t="b">
        <v>0</v>
      </c>
      <c r="N10" s="5" t="s">
        <v>97</v>
      </c>
      <c r="O10" s="5" t="s">
        <v>38</v>
      </c>
      <c r="P10" s="5" t="s">
        <v>98</v>
      </c>
      <c r="Q10" s="5" t="s">
        <v>38</v>
      </c>
    </row>
    <row r="11" spans="1:17" x14ac:dyDescent="0.25">
      <c r="A11" s="5" t="s">
        <v>72</v>
      </c>
      <c r="B11" s="5" t="s">
        <v>108</v>
      </c>
      <c r="C11" s="5" t="s">
        <v>68</v>
      </c>
      <c r="D11" s="5">
        <v>5</v>
      </c>
      <c r="E11" s="5" t="s">
        <v>92</v>
      </c>
      <c r="F11" s="5" t="s">
        <v>109</v>
      </c>
      <c r="G11" s="5" t="s">
        <v>94</v>
      </c>
      <c r="H11" s="5" t="s">
        <v>95</v>
      </c>
      <c r="I11" s="5" t="s">
        <v>110</v>
      </c>
      <c r="J11" s="5" t="s">
        <v>70</v>
      </c>
      <c r="K11" s="5" t="s">
        <v>70</v>
      </c>
      <c r="L11" s="5" t="str">
        <f>=3.7845</f>
        <v>3.7845</v>
      </c>
      <c r="M11" s="5" t="b">
        <v>0</v>
      </c>
      <c r="N11" s="5" t="s">
        <v>97</v>
      </c>
      <c r="O11" s="5" t="s">
        <v>38</v>
      </c>
      <c r="P11" s="5" t="s">
        <v>98</v>
      </c>
      <c r="Q11" s="5" t="s">
        <v>38</v>
      </c>
    </row>
    <row r="12" spans="1:17" x14ac:dyDescent="0.25">
      <c r="A12" s="5" t="s">
        <v>72</v>
      </c>
      <c r="B12" s="5" t="s">
        <v>111</v>
      </c>
      <c r="C12" s="5" t="s">
        <v>68</v>
      </c>
      <c r="D12" s="5">
        <v>6</v>
      </c>
      <c r="E12" s="5" t="s">
        <v>92</v>
      </c>
      <c r="F12" s="5" t="s">
        <v>112</v>
      </c>
      <c r="G12" s="5" t="s">
        <v>94</v>
      </c>
      <c r="H12" s="5" t="s">
        <v>95</v>
      </c>
      <c r="I12" s="5" t="s">
        <v>96</v>
      </c>
      <c r="J12" s="5" t="s">
        <v>70</v>
      </c>
      <c r="K12" s="5" t="s">
        <v>70</v>
      </c>
      <c r="L12" s="5" t="str">
        <f>=1.296</f>
        <v>1.296</v>
      </c>
      <c r="M12" s="5" t="b">
        <v>0</v>
      </c>
      <c r="N12" s="5" t="s">
        <v>97</v>
      </c>
      <c r="O12" s="5" t="s">
        <v>38</v>
      </c>
      <c r="P12" s="5" t="s">
        <v>98</v>
      </c>
      <c r="Q12" s="5" t="s">
        <v>38</v>
      </c>
    </row>
    <row r="13" spans="1:17" x14ac:dyDescent="0.25">
      <c r="A13" s="5" t="s">
        <v>72</v>
      </c>
      <c r="B13" s="5" t="s">
        <v>113</v>
      </c>
      <c r="C13" s="5" t="s">
        <v>68</v>
      </c>
      <c r="D13" s="5">
        <v>7</v>
      </c>
      <c r="E13" s="5" t="s">
        <v>92</v>
      </c>
      <c r="F13" s="5" t="s">
        <v>114</v>
      </c>
      <c r="G13" s="5" t="s">
        <v>94</v>
      </c>
      <c r="H13" s="5" t="s">
        <v>95</v>
      </c>
      <c r="I13" s="5" t="s">
        <v>115</v>
      </c>
      <c r="J13" s="5" t="s">
        <v>70</v>
      </c>
      <c r="K13" s="5" t="s">
        <v>70</v>
      </c>
      <c r="L13" s="5" t="str">
        <f>=20.025</f>
        <v>20.025</v>
      </c>
      <c r="M13" s="5" t="b">
        <v>0</v>
      </c>
      <c r="N13" s="5" t="s">
        <v>97</v>
      </c>
      <c r="O13" s="5" t="s">
        <v>38</v>
      </c>
      <c r="P13" s="5" t="s">
        <v>98</v>
      </c>
      <c r="Q13" s="5" t="s">
        <v>38</v>
      </c>
    </row>
    <row r="14" spans="1:17" x14ac:dyDescent="0.25">
      <c r="A14" s="5" t="s">
        <v>72</v>
      </c>
      <c r="B14" s="5" t="s">
        <v>98</v>
      </c>
      <c r="C14" s="5" t="s">
        <v>68</v>
      </c>
      <c r="D14" s="5">
        <v>8</v>
      </c>
      <c r="E14" s="5" t="s">
        <v>116</v>
      </c>
      <c r="F14" s="5" t="s">
        <v>117</v>
      </c>
      <c r="G14" s="5" t="s">
        <v>118</v>
      </c>
      <c r="H14" s="5" t="s">
        <v>95</v>
      </c>
      <c r="I14" s="5" t="s">
        <v>119</v>
      </c>
      <c r="J14" s="5" t="s">
        <v>70</v>
      </c>
      <c r="K14" s="5" t="s">
        <v>70</v>
      </c>
      <c r="L14" s="5" t="str">
        <f>=SUMIFS(tbl_BV[volume_calc],tbl_BV[parent_bv_line_id],"gt09-result")</f>
        <v>74.3535</v>
      </c>
      <c r="M14" s="5" t="b">
        <v>1</v>
      </c>
      <c r="N14" s="5" t="s">
        <v>97</v>
      </c>
      <c r="O14" s="5" t="s">
        <v>38</v>
      </c>
      <c r="P14" s="5" t="s">
        <v>38</v>
      </c>
      <c r="Q14" s="5" t="s">
        <v>38</v>
      </c>
    </row>
  </sheetData>
  <sheetProtection sheet="1" algorithmName="SHA-512" hashValue="lyuF//HvHY7PtnICSFPTXCZ/cExztkJf4hWvkst3ISqIQ3bItW/giNnsFteYHlCKAkYyBl37Jl3RmHzDlhrKFg==" saltValue="2kl+AtZxiYt9oN+JeY4BXw==" spinCount="100000"/>
  <autoFilter ref="A6:Q14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T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20" width="14" customWidth="1"/>
  </cols>
  <sheetData>
    <row r="6" spans="1:20" s="2" customFormat="1" x14ac:dyDescent="0.25">
      <c r="A6" s="3" t="s">
        <v>60</v>
      </c>
      <c r="B6" s="4" t="s">
        <v>61</v>
      </c>
      <c r="C6" s="3" t="s">
        <v>120</v>
      </c>
      <c r="D6" s="3" t="s">
        <v>121</v>
      </c>
      <c r="E6" s="3" t="s">
        <v>122</v>
      </c>
      <c r="F6" s="3" t="s">
        <v>123</v>
      </c>
      <c r="G6" s="3" t="s">
        <v>124</v>
      </c>
      <c r="H6" s="3" t="s">
        <v>125</v>
      </c>
      <c r="I6" s="3" t="s">
        <v>126</v>
      </c>
      <c r="J6" s="3" t="s">
        <v>127</v>
      </c>
      <c r="K6" s="3" t="s">
        <v>128</v>
      </c>
      <c r="L6" s="3" t="s">
        <v>129</v>
      </c>
      <c r="M6" s="3" t="s">
        <v>130</v>
      </c>
      <c r="N6" s="3" t="s">
        <v>131</v>
      </c>
      <c r="O6" s="3" t="s">
        <v>132</v>
      </c>
      <c r="P6" s="3" t="s">
        <v>133</v>
      </c>
      <c r="Q6" s="3" t="s">
        <v>134</v>
      </c>
      <c r="R6" s="3" t="s">
        <v>135</v>
      </c>
      <c r="S6" s="3" t="s">
        <v>64</v>
      </c>
      <c r="T6" s="3" t="s">
        <v>64</v>
      </c>
    </row>
    <row r="7" spans="1:19" x14ac:dyDescent="0.25">
      <c r="A7" s="5" t="s">
        <v>73</v>
      </c>
      <c r="B7" s="5" t="s">
        <v>74</v>
      </c>
      <c r="C7" s="5" t="s">
        <v>136</v>
      </c>
      <c r="D7" s="5" t="s">
        <v>137</v>
      </c>
      <c r="E7" s="5" t="s">
        <v>138</v>
      </c>
      <c r="F7" s="5" t="s">
        <v>139</v>
      </c>
      <c r="G7" s="5" t="s">
        <v>140</v>
      </c>
      <c r="H7" s="5" t="s">
        <v>70</v>
      </c>
      <c r="I7" s="5" t="s">
        <v>70</v>
      </c>
      <c r="J7" s="5" t="s">
        <v>38</v>
      </c>
      <c r="K7" s="5" t="s">
        <v>38</v>
      </c>
      <c r="L7" s="5" t="s">
        <v>38</v>
      </c>
      <c r="M7" s="5" t="str">
        <f>SUMIFS(tbl_AHSP_COMP[component_cost],tbl_AHSP_COMP[hsp_id],[@hsp_id],tbl_AHSP_COMP[component_group],"TENAGA")</f>
        <v>139828</v>
      </c>
      <c r="N7" s="5" t="str">
        <f>SUMIFS(tbl_AHSP_COMP[component_cost],tbl_AHSP_COMP[hsp_id],[@hsp_id],tbl_AHSP_COMP[component_group],"BAHAN")</f>
        <v>0</v>
      </c>
      <c r="O7" s="5" t="str">
        <f>SUMIFS(tbl_AHSP_COMP[component_cost],tbl_AHSP_COMP[hsp_id],[@hsp_id],tbl_AHSP_COMP[component_group],"ALAT")</f>
        <v>0</v>
      </c>
      <c r="P7" s="5" t="str">
        <f>=[@labor_subtotal]+[@material_subtotal]+[@equipment_subtotal]</f>
        <v>139828</v>
      </c>
      <c r="Q7" s="5" t="str">
        <f>=IF([@hsp_type]="AHSP",P_OH_RATE,0)</f>
        <v/>
      </c>
      <c r="R7" s="5" t="str">
        <f>=[@direct_cost]*[@oh_rate]</f>
        <v>13982.8</v>
      </c>
      <c r="S7" s="5" t="str">
        <f>=IF([@hsp_type]="MANUAL",[@manual_hsp],[@direct_cost]+[@oh_value])</f>
        <v>153810.8</v>
      </c>
    </row>
  </sheetData>
  <sheetProtection sheet="1" algorithmName="SHA-512" hashValue="U4k6L5gEI0NurdxNKtSbNmbhrvDxoVI53btZV2Q9Xka0TD/D4LmcJ1IDP1N9bTFHDlSCJmTboOouxgFa/e0B1w==" saltValue="GjogTuKcJ676iwiM2FyZZA==" spinCount="100000"/>
  <autoFilter ref="A6:S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Q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7" width="14" customWidth="1"/>
  </cols>
  <sheetData>
    <row r="6" spans="1:17" s="2" customFormat="1" x14ac:dyDescent="0.25">
      <c r="A6" s="3" t="s">
        <v>141</v>
      </c>
      <c r="B6" s="4" t="s">
        <v>120</v>
      </c>
      <c r="C6" s="3" t="s">
        <v>60</v>
      </c>
      <c r="D6" s="3" t="s">
        <v>142</v>
      </c>
      <c r="E6" s="3" t="s">
        <v>143</v>
      </c>
      <c r="F6" s="3" t="s">
        <v>144</v>
      </c>
      <c r="G6" s="3" t="s">
        <v>145</v>
      </c>
      <c r="H6" s="3" t="s">
        <v>146</v>
      </c>
      <c r="I6" s="3" t="s">
        <v>147</v>
      </c>
      <c r="J6" s="3" t="s">
        <v>148</v>
      </c>
      <c r="K6" s="3" t="s">
        <v>149</v>
      </c>
      <c r="L6" s="3" t="s">
        <v>150</v>
      </c>
      <c r="M6" s="3" t="s">
        <v>151</v>
      </c>
      <c r="N6" s="3" t="s">
        <v>152</v>
      </c>
      <c r="O6" s="3" t="s">
        <v>153</v>
      </c>
      <c r="P6" s="3" t="s">
        <v>124</v>
      </c>
      <c r="Q6" s="3" t="s">
        <v>124</v>
      </c>
    </row>
    <row r="7" spans="1:16" x14ac:dyDescent="0.25">
      <c r="A7" s="5" t="s">
        <v>154</v>
      </c>
      <c r="B7" s="5" t="s">
        <v>136</v>
      </c>
      <c r="C7" s="5" t="s">
        <v>73</v>
      </c>
      <c r="D7" s="5">
        <v>1</v>
      </c>
      <c r="E7" s="5" t="s">
        <v>155</v>
      </c>
      <c r="F7" s="5" t="s">
        <v>156</v>
      </c>
      <c r="G7" s="5" t="s">
        <v>38</v>
      </c>
      <c r="H7" s="5" t="s">
        <v>157</v>
      </c>
      <c r="I7" s="5" t="s">
        <v>157</v>
      </c>
      <c r="J7" s="5" t="s">
        <v>158</v>
      </c>
      <c r="K7" s="5" t="s">
        <v>159</v>
      </c>
      <c r="L7" s="5" t="s">
        <v>157</v>
      </c>
      <c r="M7" s="5" t="s">
        <v>160</v>
      </c>
      <c r="N7" s="5" t="s">
        <v>161</v>
      </c>
      <c r="O7" s="5" t="str">
        <f>=[@coefficient]*[@price_value]</f>
        <v>132000</v>
      </c>
      <c r="P7" s="5" t="s">
        <v>140</v>
      </c>
    </row>
    <row r="8" spans="1:16" x14ac:dyDescent="0.25">
      <c r="A8" s="5" t="s">
        <v>162</v>
      </c>
      <c r="B8" s="5" t="s">
        <v>136</v>
      </c>
      <c r="C8" s="5" t="s">
        <v>73</v>
      </c>
      <c r="D8" s="5">
        <v>2</v>
      </c>
      <c r="E8" s="5" t="s">
        <v>155</v>
      </c>
      <c r="F8" s="5" t="s">
        <v>163</v>
      </c>
      <c r="G8" s="5" t="s">
        <v>38</v>
      </c>
      <c r="H8" s="5" t="s">
        <v>157</v>
      </c>
      <c r="I8" s="5" t="s">
        <v>157</v>
      </c>
      <c r="J8" s="5" t="s">
        <v>164</v>
      </c>
      <c r="K8" s="5" t="s">
        <v>165</v>
      </c>
      <c r="L8" s="5" t="s">
        <v>157</v>
      </c>
      <c r="M8" s="5" t="s">
        <v>166</v>
      </c>
      <c r="N8" s="5" t="s">
        <v>161</v>
      </c>
      <c r="O8" s="5" t="str">
        <f>=[@coefficient]*[@price_value]</f>
        <v>7828</v>
      </c>
      <c r="P8" s="5" t="s">
        <v>140</v>
      </c>
    </row>
  </sheetData>
  <sheetProtection sheet="1" algorithmName="SHA-512" hashValue="N6Hr+UZupo178aXbcJEdTri6bPi8oLx39qpWiwfkVBX72RrPhbZLaOJt5TKiOPsB4PQALP+guwGX9+Ew7MQAVQ==" saltValue="We+QYkKFfdYV2ctkUZzelg==" spinCount="100000"/>
  <autoFilter ref="A6:P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K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1" width="14" customWidth="1"/>
  </cols>
  <sheetData>
    <row r="6" spans="1:11" s="2" customFormat="1" x14ac:dyDescent="0.25">
      <c r="A6" s="3" t="s">
        <v>148</v>
      </c>
      <c r="B6" s="4" t="s">
        <v>167</v>
      </c>
      <c r="C6" s="3" t="s">
        <v>168</v>
      </c>
      <c r="D6" s="3" t="s">
        <v>169</v>
      </c>
      <c r="E6" s="3" t="s">
        <v>170</v>
      </c>
      <c r="F6" s="3" t="s">
        <v>84</v>
      </c>
      <c r="G6" s="3" t="s">
        <v>150</v>
      </c>
      <c r="H6" s="3" t="s">
        <v>151</v>
      </c>
      <c r="I6" s="3" t="s">
        <v>152</v>
      </c>
      <c r="J6" s="3" t="s">
        <v>20</v>
      </c>
      <c r="K6" s="3" t="s">
        <v>20</v>
      </c>
    </row>
    <row r="7" spans="1:10" x14ac:dyDescent="0.25">
      <c r="A7" s="5" t="s">
        <v>158</v>
      </c>
      <c r="B7" s="5" t="s">
        <v>155</v>
      </c>
      <c r="C7" s="5" t="s">
        <v>38</v>
      </c>
      <c r="D7" s="5" t="s">
        <v>156</v>
      </c>
      <c r="E7" s="5" t="s">
        <v>157</v>
      </c>
      <c r="F7" s="5" t="s">
        <v>157</v>
      </c>
      <c r="G7" s="5" t="s">
        <v>157</v>
      </c>
      <c r="H7" s="5" t="s">
        <v>160</v>
      </c>
      <c r="I7" s="5" t="s">
        <v>161</v>
      </c>
      <c r="J7" s="5" t="s">
        <v>12</v>
      </c>
    </row>
    <row r="8" spans="1:10" x14ac:dyDescent="0.25">
      <c r="A8" s="5" t="s">
        <v>164</v>
      </c>
      <c r="B8" s="5" t="s">
        <v>155</v>
      </c>
      <c r="C8" s="5" t="s">
        <v>38</v>
      </c>
      <c r="D8" s="5" t="s">
        <v>163</v>
      </c>
      <c r="E8" s="5" t="s">
        <v>157</v>
      </c>
      <c r="F8" s="5" t="s">
        <v>157</v>
      </c>
      <c r="G8" s="5" t="s">
        <v>157</v>
      </c>
      <c r="H8" s="5" t="s">
        <v>166</v>
      </c>
      <c r="I8" s="5" t="s">
        <v>161</v>
      </c>
      <c r="J8" s="5" t="s">
        <v>12</v>
      </c>
    </row>
  </sheetData>
  <sheetProtection sheet="1" algorithmName="SHA-512" hashValue="29dUHBkoHwmibzqVcUdbNIjorGjsvJkKhnjLWQiVEMuEGg3uwLkS6RJ0htPcv3Zag+ExPSejjNyqM/iX6AF72w==" saltValue="hrhVhZ6nrqdOziTu8Vw1XA==" spinCount="100000"/>
  <autoFilter ref="A6:J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N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4" width="14" customWidth="1"/>
  </cols>
  <sheetData>
    <row r="6" spans="1:14" s="2" customFormat="1" x14ac:dyDescent="0.25">
      <c r="A6" s="3" t="s">
        <v>45</v>
      </c>
      <c r="B6" s="4" t="s">
        <v>47</v>
      </c>
      <c r="C6" s="3" t="s">
        <v>32</v>
      </c>
      <c r="D6" s="3" t="s">
        <v>35</v>
      </c>
      <c r="E6" s="3" t="s">
        <v>48</v>
      </c>
      <c r="F6" s="3" t="s">
        <v>49</v>
      </c>
      <c r="G6" s="3" t="s">
        <v>60</v>
      </c>
      <c r="H6" s="3" t="s">
        <v>61</v>
      </c>
      <c r="I6" s="3" t="s">
        <v>122</v>
      </c>
      <c r="J6" s="3" t="s">
        <v>171</v>
      </c>
      <c r="K6" s="3" t="s">
        <v>59</v>
      </c>
      <c r="L6" s="3" t="s">
        <v>65</v>
      </c>
      <c r="M6" s="3" t="s">
        <v>36</v>
      </c>
      <c r="N6" s="3" t="s">
        <v>36</v>
      </c>
    </row>
    <row r="7" spans="1:13" x14ac:dyDescent="0.25">
      <c r="A7" s="5" t="s">
        <v>68</v>
      </c>
      <c r="B7" s="5" t="s">
        <v>69</v>
      </c>
      <c r="C7" s="5" t="s">
        <v>37</v>
      </c>
      <c r="D7" s="5" t="s">
        <v>39</v>
      </c>
      <c r="E7" s="5" t="s">
        <v>38</v>
      </c>
      <c r="F7" s="5" t="s">
        <v>38</v>
      </c>
      <c r="G7" s="5" t="s">
        <v>73</v>
      </c>
      <c r="H7" s="5" t="s">
        <v>74</v>
      </c>
      <c r="I7" s="5" t="s">
        <v>38</v>
      </c>
      <c r="J7" s="5" t="s">
        <v>69</v>
      </c>
      <c r="K7" s="5" t="str">
        <f>=INDEX(tbl_RAB[volume],MATCH([@item_id],tbl_RAB[item_id],0))</f>
        <v/>
      </c>
      <c r="L7" s="5" t="str">
        <f>=INDEX(tbl_RAB[item_amount],MATCH([@item_id],tbl_RAB[item_id],0))</f>
        <v/>
      </c>
      <c r="M7" s="5" t="str">
        <f>=SUMIFS(tbl_RAB[item_amount],tbl_RAB[group_id],[@group_id])</f>
        <v/>
      </c>
    </row>
  </sheetData>
  <sheetProtection sheet="1" algorithmName="SHA-512" hashValue="PVsDMzkOLUkL5XLpSjPuvScI0Tlr+7zvbEzwrfRHI7qVtuqKR1A73NEABx9LLsyxMhCg/fCNNKgsMxcfP4SwPQ==" saltValue="6PwqE85iVi3gIclK8pVI6A==" spinCount="100000"/>
  <autoFilter ref="A6:M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3" width="14" customWidth="1"/>
  </cols>
  <sheetData>
    <row r="6" spans="1:13" s="2" customFormat="1" x14ac:dyDescent="0.25">
      <c r="A6" s="3" t="s">
        <v>172</v>
      </c>
      <c r="B6" s="4" t="s">
        <v>173</v>
      </c>
      <c r="C6" s="3" t="s">
        <v>174</v>
      </c>
      <c r="D6" s="3" t="s">
        <v>175</v>
      </c>
      <c r="E6" s="3" t="s">
        <v>176</v>
      </c>
      <c r="F6" s="3" t="s">
        <v>177</v>
      </c>
      <c r="G6" s="3" t="s">
        <v>178</v>
      </c>
      <c r="H6" s="3" t="s">
        <v>179</v>
      </c>
      <c r="I6" s="3" t="s">
        <v>180</v>
      </c>
      <c r="J6" s="3" t="s">
        <v>181</v>
      </c>
      <c r="K6" s="3" t="s">
        <v>182</v>
      </c>
      <c r="L6" s="3" t="s">
        <v>183</v>
      </c>
      <c r="M6" s="3" t="s">
        <v>183</v>
      </c>
    </row>
    <row r="7" spans="1:12" x14ac:dyDescent="0.25">
      <c r="A7" s="5" t="s">
        <v>184</v>
      </c>
      <c r="B7" s="5" t="s">
        <v>185</v>
      </c>
      <c r="C7" s="5" t="s">
        <v>186</v>
      </c>
      <c r="D7" s="5" t="s">
        <v>187</v>
      </c>
      <c r="E7" s="5" t="s">
        <v>188</v>
      </c>
      <c r="F7" s="5" t="s">
        <v>189</v>
      </c>
      <c r="G7" s="5" t="s">
        <v>190</v>
      </c>
      <c r="H7" s="5" t="b">
        <v>1</v>
      </c>
      <c r="I7" s="5" t="b">
        <v>0</v>
      </c>
      <c r="J7" s="5" t="s">
        <v>191</v>
      </c>
      <c r="K7" s="5" t="s">
        <v>38</v>
      </c>
      <c r="L7" s="5" t="s">
        <v>38</v>
      </c>
    </row>
    <row r="8" spans="1:12" x14ac:dyDescent="0.25">
      <c r="A8" s="5" t="s">
        <v>192</v>
      </c>
      <c r="B8" s="5" t="s">
        <v>185</v>
      </c>
      <c r="C8" s="5" t="s">
        <v>186</v>
      </c>
      <c r="D8" s="5" t="s">
        <v>193</v>
      </c>
      <c r="E8" s="5" t="s">
        <v>188</v>
      </c>
      <c r="F8" s="5" t="s">
        <v>189</v>
      </c>
      <c r="G8" s="5" t="s">
        <v>194</v>
      </c>
      <c r="H8" s="5" t="b">
        <v>1</v>
      </c>
      <c r="I8" s="5" t="b">
        <v>0</v>
      </c>
      <c r="J8" s="5" t="s">
        <v>191</v>
      </c>
      <c r="K8" s="5" t="s">
        <v>38</v>
      </c>
      <c r="L8" s="5" t="s">
        <v>38</v>
      </c>
    </row>
  </sheetData>
  <sheetProtection sheet="1" algorithmName="SHA-512" hashValue="GC3y3Svb8Xu6HtFVJUB3yDmtUfBpwYQqD6n+DlehV/dpTFtsPz8AXUpMv6pD84wyVL2BM9JmQM1hxXbKJ2u2iA==" saltValue="2KvHK9YUt+HpKDdX6C4tMA==" spinCount="100000"/>
  <autoFilter ref="A6:L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</vt:lpstr>
      <vt:lpstr>REKAP</vt:lpstr>
      <vt:lpstr>RAB_DETAIL</vt:lpstr>
      <vt:lpstr>BV</vt:lpstr>
      <vt:lpstr>HSP_USED</vt:lpstr>
      <vt:lpstr>AHSP_COMPONENTS</vt:lpstr>
      <vt:lpstr>RESOURCE_SNAPSHOT</vt:lpstr>
      <vt:lpstr>HSP_MAPPING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Consultant AI Office</dc:creator>
  <dc:title/>
  <dc:subject/>
  <dc:description/>
  <cp:keywords/>
  <cp:category/>
  <cp:lastModifiedBy>Unknown</cp:lastModifiedBy>
  <dcterms:created xsi:type="dcterms:W3CDTF">2026-08-31T00:00:00Z</dcterms:created>
  <dcterms:modified xsi:type="dcterms:W3CDTF">2026-08-31T00:00:00Z</dcterms:modified>
</cp:coreProperties>
</file>