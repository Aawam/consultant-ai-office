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" state="visible" r:id="rId4"/>
    <sheet sheetId="2" name="RAB" state="visible" r:id="rId5"/>
    <sheet sheetId="3" name="BV" state="visible" r:id="rId6"/>
    <sheet sheetId="4" name="ANALISA HSP" state="visible" r:id="rId7"/>
    <sheet sheetId="5" name="HARGA DASAR" state="visible" r:id="rId8"/>
    <sheet sheetId="6" name="PROJECT" state="veryHidden" r:id="rId9"/>
    <sheet sheetId="7" name="AHSP_COMPONENTS" state="veryHidden" r:id="rId10"/>
    <sheet sheetId="8" name="HSP_MAPPING" state="veryHidden" r:id="rId11"/>
    <sheet sheetId="9" name="CHECKS" state="veryHidden" r:id="rId12"/>
  </sheets>
  <definedNames>
    <definedName name="P_OH_RATE">PROJECT!$B$7</definedName>
    <definedName name="P_PPN_RATE">PROJECT!$B$8</definedName>
    <definedName name="P_ROUND_UNIT">PROJECT!$B$9</definedName>
    <definedName name="_xlnm.Print_Area" localSheetId="0">'REKAP'!$A1:$F15</definedName>
    <definedName name="_xlnm.Print_Area" localSheetId="1">'RAB'!$A1:$G12</definedName>
    <definedName name="_xlnm.Print_Area" localSheetId="2">'BV'!$A1:$L10</definedName>
    <definedName name="_xlnm.Print_Area" localSheetId="3">'ANALISA HSP'!$A1:$G30</definedName>
    <definedName name="_xlnm.Print_Area" localSheetId="4">'HARGA DASAR'!$A1:$G19</definedName>
  </definedNames>
  <calcPr calcId="171027" fullCalcOnLoad="1"/>
</workbook>
</file>

<file path=xl/sharedStrings.xml><?xml version="1.0" encoding="utf-8"?>
<sst xmlns="http://schemas.openxmlformats.org/spreadsheetml/2006/main" count="378" uniqueCount="171">
  <si>
    <t>REKAPITULASI ANGGARAN</t>
  </si>
  <si>
    <t>Kegiatan</t>
  </si>
  <si>
    <t>: PRESENTATION DEMO — NOT GOLDEN</t>
  </si>
  <si>
    <t>NOT OFFICIAL</t>
  </si>
  <si>
    <t>Pekerjaan</t>
  </si>
  <si>
    <t>: PRESENTATION DEMO — DUA ANALISA HSP</t>
  </si>
  <si>
    <t>Status</t>
  </si>
  <si>
    <t>: DRAFT</t>
  </si>
  <si>
    <t>NO.</t>
  </si>
  <si>
    <t>URAIAN PEKERJAAN</t>
  </si>
  <si>
    <t>JUMLAH HARGA (Rp.)</t>
  </si>
  <si>
    <t>I</t>
  </si>
  <si>
    <t>PEKERJAAN TANAH</t>
  </si>
  <si>
    <t>II</t>
  </si>
  <si>
    <t>PEKERJAAN BETON</t>
  </si>
  <si>
    <t>JUMLAH SELURUH PEKERJAAN</t>
  </si>
  <si>
    <t>PPN 11%</t>
  </si>
  <si>
    <t>JUMLAH SELURUH PEKERJAAN + PPN</t>
  </si>
  <si>
    <t>PEMBULATAN</t>
  </si>
  <si>
    <t>SELISIH PEMBULATAN</t>
  </si>
  <si>
    <t>RENCANA ANGGARAN BIAYA (RAB)</t>
  </si>
  <si>
    <t>KODE</t>
  </si>
  <si>
    <t>SAT.</t>
  </si>
  <si>
    <t>VOLUME</t>
  </si>
  <si>
    <t>HARGA SAT. (Rp.)</t>
  </si>
  <si>
    <t>1.2.1.1.1</t>
  </si>
  <si>
    <t>Penggalian 1 m3 tanah biasa sedalam 0 s.d. 1 m untuk volume s.d. 200 m3 secara manual</t>
  </si>
  <si>
    <t>m3</t>
  </si>
  <si>
    <t>2.2.1.5.6</t>
  </si>
  <si>
    <t>1 m3 beton mutu sedang f'c 25 MPa, slump (100 ± 25) mm, agregat maks 19 mm secara semi mekanis</t>
  </si>
  <si>
    <t>BACKUP VOLUME</t>
  </si>
  <si>
    <t>URAIAN KEGIATAN</t>
  </si>
  <si>
    <t>PANJANG</t>
  </si>
  <si>
    <t>LEBAR</t>
  </si>
  <si>
    <t>TINGGI</t>
  </si>
  <si>
    <t>TITIK</t>
  </si>
  <si>
    <t>JUMLAH</t>
  </si>
  <si>
    <t>KOEF.</t>
  </si>
  <si>
    <t>LUAS</t>
  </si>
  <si>
    <t>KETERANGAN</t>
  </si>
  <si>
    <t>–</t>
  </si>
  <si>
    <t>Volume presentasi 1.2.1.1.1 — bukan Golden Reference</t>
  </si>
  <si>
    <t>Demo inspeksi HSP</t>
  </si>
  <si>
    <t>Volume presentasi 2.2.1.5.6 — bukan Golden Reference</t>
  </si>
  <si>
    <t>ANALISA HARGA SATUAN PEKERJAAN</t>
  </si>
  <si>
    <t>1.2.1.1.1 — Penggalian 1 m3 tanah biasa sedalam 0 s.d. 1 m untuk volume s.d. 200 m3 secara manual</t>
  </si>
  <si>
    <t>KELOMPOK</t>
  </si>
  <si>
    <t>URAIAN SUMBER DAYA</t>
  </si>
  <si>
    <t>KOEFISIEN</t>
  </si>
  <si>
    <t>HARGA DASAR (Rp.)</t>
  </si>
  <si>
    <t>JUMLAH (Rp.)</t>
  </si>
  <si>
    <t>TENAGA</t>
  </si>
  <si>
    <t>Pekerja</t>
  </si>
  <si>
    <t>OH</t>
  </si>
  <si>
    <t>Mandor</t>
  </si>
  <si>
    <t>JUMLAH BIAYA LANGSUNG</t>
  </si>
  <si>
    <t>OVERHEAD &amp; PROFIT (10%)</t>
  </si>
  <si>
    <t>HARGA SATUAN PEKERJAAN</t>
  </si>
  <si>
    <t>2.2.1.5.6 — 1 m3 beton mutu sedang f'c 25 MPa, slump (100 ± 25) mm, agregat maks 19 mm secara semi mekanis</t>
  </si>
  <si>
    <t>Tukang batu</t>
  </si>
  <si>
    <t>Kepala Tukang</t>
  </si>
  <si>
    <t>BAHAN</t>
  </si>
  <si>
    <t>Semen Portland (PC)</t>
  </si>
  <si>
    <t>kg</t>
  </si>
  <si>
    <t>Pasir beton</t>
  </si>
  <si>
    <t>Batu split 2/3</t>
  </si>
  <si>
    <t>Air</t>
  </si>
  <si>
    <t>liter</t>
  </si>
  <si>
    <t>ALAT</t>
  </si>
  <si>
    <t>Molen beton mixer 350 liter</t>
  </si>
  <si>
    <t>hari</t>
  </si>
  <si>
    <t>DAFTAR HARGA DASAR</t>
  </si>
  <si>
    <t>STATUS</t>
  </si>
  <si>
    <t>-</t>
  </si>
  <si>
    <t>TERSEDIA</t>
  </si>
  <si>
    <t>field</t>
  </si>
  <si>
    <t>value</t>
  </si>
  <si>
    <t>project_id</t>
  </si>
  <si>
    <t>demo-project-multi-hsp</t>
  </si>
  <si>
    <t>rab_version_id</t>
  </si>
  <si>
    <t>demo-rab-multi-hsp-v1</t>
  </si>
  <si>
    <t>snapshot_id</t>
  </si>
  <si>
    <t>demo-snapshot-multi-hsp-v1</t>
  </si>
  <si>
    <t>project_name</t>
  </si>
  <si>
    <t>PRESENTATION DEMO — NOT GOLDEN</t>
  </si>
  <si>
    <t>status</t>
  </si>
  <si>
    <t>DRAFT</t>
  </si>
  <si>
    <t>oh_profit_rate</t>
  </si>
  <si>
    <t>ppn_rate</t>
  </si>
  <si>
    <t>rounding_unit</t>
  </si>
  <si>
    <t>rounding_method</t>
  </si>
  <si>
    <t>HALF_UP</t>
  </si>
  <si>
    <t>generated_at</t>
  </si>
  <si>
    <t>2026-08-31T00:00:00.000Z</t>
  </si>
  <si>
    <t>bv_id</t>
  </si>
  <si>
    <t>bv_line_id</t>
  </si>
  <si>
    <t>parent_bv_line_id</t>
  </si>
  <si>
    <t>ref_bv_line_id</t>
  </si>
  <si>
    <t>rab_item_id</t>
  </si>
  <si>
    <t>template_key</t>
  </si>
  <si>
    <t>template_version</t>
  </si>
  <si>
    <t>provenance</t>
  </si>
  <si>
    <t>demo-bv-1</t>
  </si>
  <si>
    <t>demo-bv-line-1</t>
  </si>
  <si>
    <t/>
  </si>
  <si>
    <t>demo-item-1</t>
  </si>
  <si>
    <t>SCALAR_VALUE</t>
  </si>
  <si>
    <t>1</t>
  </si>
  <si>
    <t>PRESENTATION_DEMO_NOT_GOLDEN</t>
  </si>
  <si>
    <t>demo-bv-2</t>
  </si>
  <si>
    <t>demo-bv-line-2</t>
  </si>
  <si>
    <t>demo-item-2</t>
  </si>
  <si>
    <t>ahsp_component_id</t>
  </si>
  <si>
    <t>ahsp_id</t>
  </si>
  <si>
    <t>hsp_id</t>
  </si>
  <si>
    <t>resource_id</t>
  </si>
  <si>
    <t>component_group</t>
  </si>
  <si>
    <t>source_order</t>
  </si>
  <si>
    <t>coefficient</t>
  </si>
  <si>
    <t>price_value</t>
  </si>
  <si>
    <t>component_cost</t>
  </si>
  <si>
    <t>source_locator</t>
  </si>
  <si>
    <t>gt07-c1</t>
  </si>
  <si>
    <t>demo-ahsp-gt07</t>
  </si>
  <si>
    <t>demo-hsp-gt07</t>
  </si>
  <si>
    <t>gt07-r1</t>
  </si>
  <si>
    <t>Masterfile AHSP CK.xlsx / AHSP!C626:I638</t>
  </si>
  <si>
    <t>gt07-c2</t>
  </si>
  <si>
    <t>gt07-r2</t>
  </si>
  <si>
    <t>gt06-c1</t>
  </si>
  <si>
    <t>demo-ahsp-gt06</t>
  </si>
  <si>
    <t>demo-hsp-gt06</t>
  </si>
  <si>
    <t>gt06-r1</t>
  </si>
  <si>
    <t>Masterfile AHSP CK.xlsx / AHSP!C3353:I3372</t>
  </si>
  <si>
    <t>gt06-c2</t>
  </si>
  <si>
    <t>gt06-r2</t>
  </si>
  <si>
    <t>gt06-c3</t>
  </si>
  <si>
    <t>gt06-r3</t>
  </si>
  <si>
    <t>gt06-c4</t>
  </si>
  <si>
    <t>gt06-r4</t>
  </si>
  <si>
    <t>gt06-c5</t>
  </si>
  <si>
    <t>gt06-r5</t>
  </si>
  <si>
    <t>gt06-c6</t>
  </si>
  <si>
    <t>gt06-r6</t>
  </si>
  <si>
    <t>gt06-c7</t>
  </si>
  <si>
    <t>gt06-r7</t>
  </si>
  <si>
    <t>gt06-c8</t>
  </si>
  <si>
    <t>gt06-r8</t>
  </si>
  <si>
    <t>gt06-c9</t>
  </si>
  <si>
    <t>gt06-r9</t>
  </si>
  <si>
    <t>display_order</t>
  </si>
  <si>
    <t>item_id</t>
  </si>
  <si>
    <t>group_id</t>
  </si>
  <si>
    <t>group_name</t>
  </si>
  <si>
    <t>subgroup_id</t>
  </si>
  <si>
    <t>subgroup_name</t>
  </si>
  <si>
    <t>volume</t>
  </si>
  <si>
    <t>hsp_value</t>
  </si>
  <si>
    <t>item_amount</t>
  </si>
  <si>
    <t>PEKERJAAN-TANAH</t>
  </si>
  <si>
    <t>PEKERJAAN-BETON</t>
  </si>
  <si>
    <t>check_id</t>
  </si>
  <si>
    <t>result</t>
  </si>
  <si>
    <t>message</t>
  </si>
  <si>
    <t>C-EXT-001</t>
  </si>
  <si>
    <t>PASS</t>
  </si>
  <si>
    <t>No external workbook links</t>
  </si>
  <si>
    <t>C-FORM-001</t>
  </si>
  <si>
    <t>Critical values retain active formulas</t>
  </si>
  <si>
    <t>C-PRES-001</t>
  </si>
  <si>
    <t>Technical identifiers are confined to hidden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</si>
</sst>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5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sz val="10"/>
      <name val="Arial"/>
    </font>
    <font>
      <sz val="10"/>
      <name val="Arial"/>
    </font>
    <font>
      <b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0" fillId="0" borderId="0" xfId="0" applyNumberFormat="1"/>
    <xf numFmtId="4" fontId="1" fillId="0" borderId="0" xfId="0" applyNumberFormat="1" applyFont="1" applyAlignment="1" applyProtection="1">
      <alignment horizontal="center" vertical="center"/>
    </xf>
    <xf numFmtId="0" fontId="2" fillId="0" borderId="0" xfId="0" applyFont="1" applyProtection="1"/>
    <xf numFmtId="0" fontId="3" fillId="0" borderId="0" xfId="0" applyFont="1" applyProtection="1"/>
    <xf numFmtId="4" fontId="4" fillId="2" borderId="0" xfId="0" applyNumberFormat="1" applyFont="1" applyFill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/>
    </xf>
    <xf numFmtId="4" fontId="3" fillId="0" borderId="1" xfId="0" applyNumberFormat="1" applyFont="1" applyBorder="1" applyAlignment="1" applyProtection="1">
      <alignment vertical="center"/>
    </xf>
    <xf numFmtId="0" fontId="2" fillId="0" borderId="0" xfId="0" applyFont="1"/>
    <xf numFmtId="0" fontId="2" fillId="0" borderId="1" xfId="0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/>
    </xf>
    <xf numFmtId="0" fontId="2" fillId="4" borderId="0" xfId="0" applyFont="1" applyFill="1"/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/>
    </xf>
    <xf numFmtId="0" fontId="3" fillId="0" borderId="1" xfId="0" applyFont="1" applyBorder="1" applyAlignment="1" applyProtection="1">
      <alignment vertical="center" wrapText="1"/>
    </xf>
    <xf numFmtId="164" fontId="2" fillId="4" borderId="1" xfId="0" applyNumberFormat="1" applyFont="1" applyFill="1" applyBorder="1" applyAlignment="1" applyProtection="1">
      <alignment vertical="center"/>
    </xf>
    <xf numFmtId="164" fontId="0" fillId="0" borderId="0" xfId="0" applyNumberFormat="1"/>
    <xf numFmtId="4" fontId="2" fillId="3" borderId="0" xfId="0" applyNumberFormat="1" applyFont="1" applyFill="1" applyProtection="1"/>
    <xf numFmtId="164" fontId="2" fillId="3" borderId="1" xfId="0" applyNumberFormat="1" applyFont="1" applyFill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vertical="center"/>
    </xf>
    <xf numFmtId="4" fontId="2" fillId="0" borderId="1" xfId="0" applyNumberFormat="1" applyFont="1" applyBorder="1" applyAlignment="1" applyProtection="1">
      <alignment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PROJECT" displayName="tbl_PROJECT" ref="A1:B11" totalsRowShown="1" headerRowCount="1">
  <autoFilter ref="A1:B11">
    <filterColumn colId="0" hiddenButton="1"/>
    <filterColumn colId="1" hiddenButton="1"/>
  </autoFilter>
  <tableColumns count="2">
    <tableColumn id="1" name="field" totalsRowLabel="Total"/>
    <tableColumn id="2" name="value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_BV_TRACE" displayName="tbl_BV_TRACE" ref="A14:H16" totalsRowShown="1" headerRowCount="1">
  <autoFilter ref="A14:H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bv_id" totalsRowLabel="Total"/>
    <tableColumn id="2" name="bv_line_id" totalsRowFunction="none"/>
    <tableColumn id="3" name="parent_bv_line_id" totalsRowFunction="none"/>
    <tableColumn id="4" name="ref_bv_line_id" totalsRowFunction="none"/>
    <tableColumn id="5" name="rab_item_id" totalsRowFunction="none"/>
    <tableColumn id="6" name="template_key" totalsRowFunction="none"/>
    <tableColumn id="7" name="template_version" totalsRowFunction="none"/>
    <tableColumn id="8" name="provenance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_AHSP_COMP" displayName="tbl_AHSP_COMP" ref="A1:J12" totalsRowShown="1" headerRowCount="1">
  <autoFilter ref="A1:J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ahsp_component_id" totalsRowLabel="Total"/>
    <tableColumn id="2" name="ahsp_id" totalsRowFunction="none"/>
    <tableColumn id="3" name="hsp_id" totalsRowFunction="none"/>
    <tableColumn id="4" name="resource_id" totalsRowFunction="none"/>
    <tableColumn id="5" name="component_group" totalsRowFunction="none"/>
    <tableColumn id="6" name="source_order" totalsRowFunction="none"/>
    <tableColumn id="7" name="coefficient" totalsRowFunction="none"/>
    <tableColumn id="8" name="price_value" totalsRowFunction="none"/>
    <tableColumn id="9" name="component_cost" totalsRowFunction="none"/>
    <tableColumn id="10" name="source_locator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_HSP_MAP" displayName="tbl_HSP_MAP" ref="A1:K3" totalsRowShown="1" headerRowCount="1">
  <autoFilter ref="A1:K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isplay_order" totalsRowLabel="Total"/>
    <tableColumn id="2" name="item_id" totalsRowFunction="none"/>
    <tableColumn id="3" name="group_id" totalsRowFunction="none"/>
    <tableColumn id="4" name="group_name" totalsRowFunction="none"/>
    <tableColumn id="5" name="subgroup_id" totalsRowFunction="none"/>
    <tableColumn id="6" name="subgroup_name" totalsRowFunction="none"/>
    <tableColumn id="7" name="hsp_id" totalsRowFunction="none"/>
    <tableColumn id="8" name="bv_id" totalsRowFunction="none"/>
    <tableColumn id="9" name="volume" totalsRowFunction="none"/>
    <tableColumn id="10" name="hsp_value" totalsRowFunction="none"/>
    <tableColumn id="11" name="item_amount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_CHECKS" displayName="tbl_CHECKS" ref="A1:D4" totalsRowShown="1" headerRowCount="1">
  <autoFilter ref="A1:D4">
    <filterColumn colId="0" hiddenButton="1"/>
    <filterColumn colId="1" hiddenButton="1"/>
    <filterColumn colId="2" hiddenButton="1"/>
    <filterColumn colId="3" hiddenButton="1"/>
  </autoFilter>
  <tableColumns count="4">
    <tableColumn id="1" name="check_id" totalsRowLabel="Total"/>
    <tableColumn id="2" name="result" totalsRowFunction="none"/>
    <tableColumn id="3" name="message" totalsRowFunction="none"/>
    <tableColumn id="4" name="snapshot_id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5" width="16" customWidth="1"/>
    <col min="6" max="6" width="22" style="1" customWidth="1"/>
  </cols>
  <sheetData>
    <row r="1" ht="24" customHeight="1" spans="1:6" x14ac:dyDescent="0.25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4" t="s">
        <v>2</v>
      </c>
      <c r="F3" s="5" t="s">
        <v>3</v>
      </c>
    </row>
    <row r="4" spans="1:6" x14ac:dyDescent="0.25">
      <c r="A4" s="3" t="s">
        <v>4</v>
      </c>
      <c r="B4" s="4" t="s">
        <v>5</v>
      </c>
      <c r="F4" s="1"/>
    </row>
    <row r="5" spans="1:6" x14ac:dyDescent="0.25">
      <c r="A5" s="3" t="s">
        <v>6</v>
      </c>
      <c r="B5" s="4" t="s">
        <v>7</v>
      </c>
      <c r="F5" s="1"/>
    </row>
    <row r="7" ht="30" customHeight="1" spans="1:6" x14ac:dyDescent="0.25">
      <c r="A7" s="6" t="s">
        <v>8</v>
      </c>
      <c r="B7" s="6" t="s">
        <v>9</v>
      </c>
      <c r="C7" s="6"/>
      <c r="D7" s="6"/>
      <c r="E7" s="6"/>
      <c r="F7" s="7" t="s">
        <v>10</v>
      </c>
    </row>
    <row r="9" spans="1:6" x14ac:dyDescent="0.25">
      <c r="A9" s="8" t="s">
        <v>11</v>
      </c>
      <c r="B9" s="8" t="s">
        <v>12</v>
      </c>
      <c r="C9" s="8"/>
      <c r="D9" s="8"/>
      <c r="E9" s="8"/>
      <c r="F9" s="9" t="str">
        <f>=SUM('RAB'!G10)</f>
        <v/>
      </c>
    </row>
    <row r="10" spans="1:6" x14ac:dyDescent="0.25">
      <c r="A10" s="8" t="s">
        <v>13</v>
      </c>
      <c r="B10" s="8" t="s">
        <v>14</v>
      </c>
      <c r="C10" s="8"/>
      <c r="D10" s="8"/>
      <c r="E10" s="8"/>
      <c r="F10" s="9" t="str">
        <f>=SUM('RAB'!G12)</f>
        <v/>
      </c>
    </row>
    <row r="11" spans="1:6" x14ac:dyDescent="0.25">
      <c r="A11" s="8" t="s">
        <v>15</v>
      </c>
      <c r="B11" s="8"/>
      <c r="C11" s="8"/>
      <c r="D11" s="8"/>
      <c r="E11" s="8"/>
      <c r="F11" s="9">
        <f>=SUM(F9:F10)</f>
        <v>2117810.261693122</v>
      </c>
    </row>
    <row r="12" spans="1:6" x14ac:dyDescent="0.25">
      <c r="A12" s="8" t="s">
        <v>16</v>
      </c>
      <c r="B12" s="8"/>
      <c r="C12" s="8"/>
      <c r="D12" s="8"/>
      <c r="E12" s="8"/>
      <c r="F12" s="9">
        <f>=F11*'PROJECT'!$B$8</f>
        <v>232959.12878624338</v>
      </c>
    </row>
    <row r="13" spans="1:6" x14ac:dyDescent="0.25">
      <c r="A13" s="8" t="s">
        <v>17</v>
      </c>
      <c r="B13" s="8"/>
      <c r="C13" s="8"/>
      <c r="D13" s="8"/>
      <c r="E13" s="8"/>
      <c r="F13" s="9">
        <f>=F11+F12</f>
        <v>2350769.390479365</v>
      </c>
    </row>
    <row r="14" spans="1:6" s="10" customFormat="1" x14ac:dyDescent="0.25">
      <c r="A14" s="11" t="s">
        <v>18</v>
      </c>
      <c r="B14" s="11"/>
      <c r="C14" s="11"/>
      <c r="D14" s="11"/>
      <c r="E14" s="11"/>
      <c r="F14" s="12">
        <f>=INT((F13+'PROJECT'!$B$9/2)/'PROJECT'!$B$9)*'PROJECT'!$B$9</f>
        <v>2351000</v>
      </c>
    </row>
    <row r="15" spans="1:6" x14ac:dyDescent="0.25">
      <c r="A15" s="8" t="s">
        <v>19</v>
      </c>
      <c r="B15" s="8"/>
      <c r="C15" s="8"/>
      <c r="D15" s="8"/>
      <c r="E15" s="8"/>
      <c r="F15" s="9">
        <f>=F14-F13</f>
        <v>230.60952063492064</v>
      </c>
    </row>
  </sheetData>
  <sheetProtection sheet="1" selectUnlockedCells="1" algorithmName="SHA-512" hashValue="21b6KXjfE5pvRZk68eHCMKxaBpXF4fLFHXK/f4ovKDUqmeG7JzHBDk7tysUZr5PTTfz0fu0DXDylULm3LFDMGQ==" saltValue="puZ2hJVblpYAYU+Ov4La4A==" spinCount="100000"/>
  <mergeCells count="9">
    <mergeCell ref="A1:F1"/>
    <mergeCell ref="B7:E7"/>
    <mergeCell ref="B9:E9"/>
    <mergeCell ref="B10:E10"/>
    <mergeCell ref="A11:E11"/>
    <mergeCell ref="A12:E12"/>
    <mergeCell ref="A13:E13"/>
    <mergeCell ref="A14:E14"/>
    <mergeCell ref="A15:E15"/>
  </mergeCell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" customWidth="1"/>
    <col min="3" max="3" width="48" customWidth="1"/>
    <col min="5" max="5" width="14" customWidth="1"/>
    <col min="6" max="6" width="18" customWidth="1"/>
    <col min="7" max="7" width="20" customWidth="1"/>
  </cols>
  <sheetData>
    <row r="1" ht="24" customHeight="1" spans="1:7" x14ac:dyDescent="0.25">
      <c r="A1" s="13" t="s">
        <v>20</v>
      </c>
      <c r="B1" s="13"/>
      <c r="C1" s="13"/>
      <c r="D1" s="13"/>
      <c r="E1" s="13"/>
      <c r="F1" s="13"/>
      <c r="G1" s="13"/>
    </row>
    <row r="3" spans="1:7" x14ac:dyDescent="0.25">
      <c r="A3" s="3" t="s">
        <v>1</v>
      </c>
      <c r="B3" s="4" t="s">
        <v>2</v>
      </c>
      <c r="G3" s="1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7" ht="30" customHeight="1" spans="1:7" x14ac:dyDescent="0.25">
      <c r="A7" s="6" t="s">
        <v>21</v>
      </c>
      <c r="B7" s="6" t="s">
        <v>8</v>
      </c>
      <c r="C7" s="6" t="s">
        <v>9</v>
      </c>
      <c r="D7" s="6" t="s">
        <v>22</v>
      </c>
      <c r="E7" s="6" t="s">
        <v>23</v>
      </c>
      <c r="F7" s="6" t="s">
        <v>24</v>
      </c>
      <c r="G7" s="6" t="s">
        <v>10</v>
      </c>
    </row>
    <row r="9" spans="2:7" s="15" customFormat="1" x14ac:dyDescent="0.25">
      <c r="B9" s="16" t="s">
        <v>11</v>
      </c>
      <c r="C9" s="17" t="s">
        <v>12</v>
      </c>
      <c r="D9" s="17"/>
      <c r="E9" s="17"/>
      <c r="F9" s="17"/>
      <c r="G9" s="17"/>
    </row>
    <row r="10" spans="1:7" x14ac:dyDescent="0.25">
      <c r="A10" s="8" t="s">
        <v>25</v>
      </c>
      <c r="B10" s="18">
        <v>1</v>
      </c>
      <c r="C10" s="18" t="s">
        <v>26</v>
      </c>
      <c r="D10" s="8" t="s">
        <v>27</v>
      </c>
      <c r="E10" s="9">
        <f>='BV'!L9</f>
        <v>1</v>
      </c>
      <c r="F10" s="9">
        <f>='ANALISA HSP'!G13</f>
        <v>153810.8</v>
      </c>
      <c r="G10" s="9">
        <f>=E10*F10</f>
        <v>153810.8</v>
      </c>
    </row>
    <row r="11" spans="2:7" s="15" customFormat="1" x14ac:dyDescent="0.25">
      <c r="B11" s="16" t="s">
        <v>13</v>
      </c>
      <c r="C11" s="17" t="s">
        <v>14</v>
      </c>
      <c r="D11" s="17"/>
      <c r="E11" s="17"/>
      <c r="F11" s="17"/>
      <c r="G11" s="17"/>
    </row>
    <row r="12" spans="1:7" x14ac:dyDescent="0.25">
      <c r="A12" s="8" t="s">
        <v>28</v>
      </c>
      <c r="B12" s="18">
        <v>2</v>
      </c>
      <c r="C12" s="18" t="s">
        <v>29</v>
      </c>
      <c r="D12" s="8" t="s">
        <v>27</v>
      </c>
      <c r="E12" s="9">
        <f>='BV'!L10</f>
        <v>1</v>
      </c>
      <c r="F12" s="9">
        <f>='ANALISA HSP'!G28</f>
        <v>1963999.4616931216</v>
      </c>
      <c r="G12" s="9">
        <f>=E12*F12</f>
        <v>1963999.4616931216</v>
      </c>
    </row>
  </sheetData>
  <sheetProtection sheet="1" selectUnlockedCells="1" algorithmName="SHA-512" hashValue="50ZMgbTaEIhyr+7VvlIY8sJTI1Wghfib9PucVitYcMOta4qKTIJO9MBXDeWgebZnbMmZjw4evKqNm2uY6x/91w==" saltValue="bYhQM2v9WTSBQmqUnAlbng==" spinCount="100000"/>
  <mergeCells count="3">
    <mergeCell ref="A1:G1"/>
    <mergeCell ref="C9:G9"/>
    <mergeCell ref="C11:G11"/>
  </mergeCells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2" customWidth="1"/>
    <col min="3" max="9" width="11" customWidth="1"/>
    <col min="10" max="10" width="24" customWidth="1"/>
    <col min="12" max="12" width="14" customWidth="1"/>
  </cols>
  <sheetData>
    <row r="1" ht="24" customHeight="1" spans="1:12" x14ac:dyDescent="0.25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25">
      <c r="A3" s="3" t="s">
        <v>1</v>
      </c>
      <c r="B3" s="4" t="s">
        <v>2</v>
      </c>
      <c r="L3" s="1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7" ht="30" customHeight="1" spans="1:12" x14ac:dyDescent="0.25">
      <c r="A7" s="6" t="s">
        <v>8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37</v>
      </c>
      <c r="I7" s="6" t="s">
        <v>38</v>
      </c>
      <c r="J7" s="6" t="s">
        <v>39</v>
      </c>
      <c r="K7" s="6" t="s">
        <v>22</v>
      </c>
      <c r="L7" s="6" t="s">
        <v>23</v>
      </c>
    </row>
    <row r="9" spans="1:12" s="15" customFormat="1" x14ac:dyDescent="0.25">
      <c r="A9" s="17" t="s">
        <v>40</v>
      </c>
      <c r="B9" s="16" t="s">
        <v>41</v>
      </c>
      <c r="C9" s="16" t="s">
        <v>40</v>
      </c>
      <c r="D9" s="17" t="s">
        <v>40</v>
      </c>
      <c r="E9" s="17" t="s">
        <v>40</v>
      </c>
      <c r="F9" s="17" t="s">
        <v>40</v>
      </c>
      <c r="G9" s="19">
        <v>1</v>
      </c>
      <c r="H9" s="17" t="s">
        <v>40</v>
      </c>
      <c r="I9" s="17" t="s">
        <v>40</v>
      </c>
      <c r="J9" s="17" t="s">
        <v>42</v>
      </c>
      <c r="K9" s="17" t="s">
        <v>27</v>
      </c>
      <c r="L9" s="19">
        <f>=G9</f>
        <v>1</v>
      </c>
    </row>
    <row r="10" spans="1:12" s="15" customFormat="1" x14ac:dyDescent="0.25">
      <c r="A10" s="17" t="s">
        <v>40</v>
      </c>
      <c r="B10" s="16" t="s">
        <v>43</v>
      </c>
      <c r="C10" s="16" t="s">
        <v>40</v>
      </c>
      <c r="D10" s="17" t="s">
        <v>40</v>
      </c>
      <c r="E10" s="17" t="s">
        <v>40</v>
      </c>
      <c r="F10" s="17" t="s">
        <v>40</v>
      </c>
      <c r="G10" s="19">
        <v>1</v>
      </c>
      <c r="H10" s="17" t="s">
        <v>40</v>
      </c>
      <c r="I10" s="17" t="s">
        <v>40</v>
      </c>
      <c r="J10" s="17" t="s">
        <v>42</v>
      </c>
      <c r="K10" s="17" t="s">
        <v>27</v>
      </c>
      <c r="L10" s="19">
        <f>=G10</f>
        <v>1</v>
      </c>
    </row>
  </sheetData>
  <sheetProtection sheet="1" selectUnlockedCells="1" algorithmName="SHA-512" hashValue="n9dtqwQxD6vcZ1wknDx/zjDOZnen9pWi0ncEigS85RFuyZtc953LRgJJIboBfjJU/RRCuMK6HBQC+CaJaRG+4Q==" saltValue="lcz2E4mKJIEOGqMWUkBdKw==" spinCount="100000"/>
  <mergeCells count="1">
    <mergeCell ref="A1:L1"/>
  </mergeCells>
  <pageMargins left="0.25" right="0.25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2" customWidth="1"/>
    <col min="3" max="3" width="38" customWidth="1"/>
    <col min="4" max="4" width="10" customWidth="1"/>
    <col min="5" max="5" width="14" style="20" customWidth="1"/>
    <col min="6" max="7" width="18" style="1" customWidth="1"/>
  </cols>
  <sheetData>
    <row r="1" ht="24" customHeight="1" spans="1:7" x14ac:dyDescent="0.25">
      <c r="A1" s="2" t="s">
        <v>44</v>
      </c>
      <c r="B1" s="2"/>
      <c r="C1" s="2"/>
      <c r="D1" s="2"/>
      <c r="E1" s="2"/>
      <c r="F1" s="2"/>
      <c r="G1" s="2"/>
    </row>
    <row r="3" spans="1:7" x14ac:dyDescent="0.25">
      <c r="A3" s="3" t="s">
        <v>1</v>
      </c>
      <c r="B3" s="4" t="s">
        <v>2</v>
      </c>
      <c r="E3" s="20"/>
      <c r="F3" s="1"/>
      <c r="G3" s="5" t="s">
        <v>3</v>
      </c>
    </row>
    <row r="4" spans="1:7" x14ac:dyDescent="0.25">
      <c r="A4" s="3" t="s">
        <v>4</v>
      </c>
      <c r="B4" s="4" t="s">
        <v>5</v>
      </c>
      <c r="E4" s="20"/>
      <c r="F4" s="1"/>
      <c r="G4" s="1"/>
    </row>
    <row r="5" spans="1:7" x14ac:dyDescent="0.25">
      <c r="A5" s="3" t="s">
        <v>6</v>
      </c>
      <c r="B5" s="4" t="s">
        <v>7</v>
      </c>
      <c r="E5" s="20"/>
      <c r="F5" s="1"/>
      <c r="G5" s="1"/>
    </row>
    <row r="7" spans="1:7" x14ac:dyDescent="0.25">
      <c r="A7" s="21" t="s">
        <v>45</v>
      </c>
      <c r="B7" s="21"/>
      <c r="C7" s="21"/>
      <c r="D7" s="21"/>
      <c r="E7" s="21"/>
      <c r="F7" s="21"/>
      <c r="G7" s="21"/>
    </row>
    <row r="8" ht="30" customHeight="1" spans="1:7" x14ac:dyDescent="0.25">
      <c r="A8" s="6" t="s">
        <v>8</v>
      </c>
      <c r="B8" s="6" t="s">
        <v>46</v>
      </c>
      <c r="C8" s="6" t="s">
        <v>47</v>
      </c>
      <c r="D8" s="6" t="s">
        <v>22</v>
      </c>
      <c r="E8" s="22" t="s">
        <v>48</v>
      </c>
      <c r="F8" s="7" t="s">
        <v>49</v>
      </c>
      <c r="G8" s="7" t="s">
        <v>50</v>
      </c>
    </row>
    <row r="9" spans="1:7" x14ac:dyDescent="0.25">
      <c r="A9" s="8">
        <v>1</v>
      </c>
      <c r="B9" s="18" t="s">
        <v>51</v>
      </c>
      <c r="C9" s="18" t="s">
        <v>52</v>
      </c>
      <c r="D9" s="8" t="s">
        <v>53</v>
      </c>
      <c r="E9" s="23">
        <v>0.75</v>
      </c>
      <c r="F9" s="9">
        <v>176000</v>
      </c>
      <c r="G9" s="9">
        <f>=E9*F9</f>
        <v>132000</v>
      </c>
    </row>
    <row r="10" spans="1:7" x14ac:dyDescent="0.25">
      <c r="A10" s="8">
        <v>2</v>
      </c>
      <c r="B10" s="18" t="s">
        <v>51</v>
      </c>
      <c r="C10" s="18" t="s">
        <v>54</v>
      </c>
      <c r="D10" s="8" t="s">
        <v>53</v>
      </c>
      <c r="E10" s="23">
        <v>0.038</v>
      </c>
      <c r="F10" s="9">
        <v>206000</v>
      </c>
      <c r="G10" s="9">
        <f>=E10*F10</f>
        <v>7828</v>
      </c>
    </row>
    <row r="11" spans="1:7" x14ac:dyDescent="0.25">
      <c r="A11" s="9" t="s">
        <v>55</v>
      </c>
      <c r="B11" s="9"/>
      <c r="C11" s="9"/>
      <c r="D11" s="9"/>
      <c r="E11" s="9"/>
      <c r="F11" s="9"/>
      <c r="G11" s="9">
        <f>=SUM(G9:G10)</f>
        <v>139828</v>
      </c>
    </row>
    <row r="12" spans="1:7" x14ac:dyDescent="0.25">
      <c r="A12" s="9" t="s">
        <v>56</v>
      </c>
      <c r="B12" s="9"/>
      <c r="C12" s="9"/>
      <c r="D12" s="9"/>
      <c r="E12" s="9"/>
      <c r="F12" s="9"/>
      <c r="G12" s="9">
        <f>=G11*'PROJECT'!$B$7</f>
        <v>13982.8</v>
      </c>
    </row>
    <row r="13" spans="1:7" s="10" customFormat="1" x14ac:dyDescent="0.25">
      <c r="A13" s="24" t="s">
        <v>57</v>
      </c>
      <c r="B13" s="24"/>
      <c r="C13" s="24"/>
      <c r="D13" s="24"/>
      <c r="E13" s="24"/>
      <c r="F13" s="24"/>
      <c r="G13" s="24">
        <f>=G11+G12</f>
        <v>153810.8</v>
      </c>
    </row>
    <row r="15" spans="1:7" x14ac:dyDescent="0.25">
      <c r="A15" s="21" t="s">
        <v>58</v>
      </c>
      <c r="B15" s="21"/>
      <c r="C15" s="21"/>
      <c r="D15" s="21"/>
      <c r="E15" s="21"/>
      <c r="F15" s="21"/>
      <c r="G15" s="21"/>
    </row>
    <row r="16" ht="30" customHeight="1" spans="1:7" x14ac:dyDescent="0.25">
      <c r="A16" s="6" t="s">
        <v>8</v>
      </c>
      <c r="B16" s="6" t="s">
        <v>46</v>
      </c>
      <c r="C16" s="6" t="s">
        <v>47</v>
      </c>
      <c r="D16" s="6" t="s">
        <v>22</v>
      </c>
      <c r="E16" s="22" t="s">
        <v>48</v>
      </c>
      <c r="F16" s="7" t="s">
        <v>49</v>
      </c>
      <c r="G16" s="7" t="s">
        <v>50</v>
      </c>
    </row>
    <row r="17" spans="1:7" x14ac:dyDescent="0.25">
      <c r="A17" s="8">
        <v>1</v>
      </c>
      <c r="B17" s="18" t="s">
        <v>51</v>
      </c>
      <c r="C17" s="18" t="s">
        <v>52</v>
      </c>
      <c r="D17" s="8" t="s">
        <v>53</v>
      </c>
      <c r="E17" s="23">
        <v>1</v>
      </c>
      <c r="F17" s="9">
        <v>176000</v>
      </c>
      <c r="G17" s="9">
        <f>=E17*F17</f>
        <v>176000</v>
      </c>
    </row>
    <row r="18" spans="1:7" x14ac:dyDescent="0.25">
      <c r="A18" s="8">
        <v>2</v>
      </c>
      <c r="B18" s="18" t="s">
        <v>51</v>
      </c>
      <c r="C18" s="18" t="s">
        <v>59</v>
      </c>
      <c r="D18" s="8" t="s">
        <v>53</v>
      </c>
      <c r="E18" s="23">
        <v>0.25</v>
      </c>
      <c r="F18" s="9">
        <v>186000</v>
      </c>
      <c r="G18" s="9">
        <f>=E18*F18</f>
        <v>46500</v>
      </c>
    </row>
    <row r="19" spans="1:7" x14ac:dyDescent="0.25">
      <c r="A19" s="8">
        <v>3</v>
      </c>
      <c r="B19" s="18" t="s">
        <v>51</v>
      </c>
      <c r="C19" s="18" t="s">
        <v>60</v>
      </c>
      <c r="D19" s="8" t="s">
        <v>53</v>
      </c>
      <c r="E19" s="23">
        <v>0.025</v>
      </c>
      <c r="F19" s="9">
        <v>196000</v>
      </c>
      <c r="G19" s="9">
        <f>=E19*F19</f>
        <v>4900</v>
      </c>
    </row>
    <row r="20" spans="1:7" x14ac:dyDescent="0.25">
      <c r="A20" s="8">
        <v>4</v>
      </c>
      <c r="B20" s="18" t="s">
        <v>51</v>
      </c>
      <c r="C20" s="18" t="s">
        <v>54</v>
      </c>
      <c r="D20" s="8" t="s">
        <v>53</v>
      </c>
      <c r="E20" s="23">
        <v>0.1</v>
      </c>
      <c r="F20" s="9">
        <v>206000</v>
      </c>
      <c r="G20" s="9">
        <f>=E20*F20</f>
        <v>20600</v>
      </c>
    </row>
    <row r="21" spans="1:7" x14ac:dyDescent="0.25">
      <c r="A21" s="8">
        <v>5</v>
      </c>
      <c r="B21" s="18" t="s">
        <v>61</v>
      </c>
      <c r="C21" s="18" t="s">
        <v>62</v>
      </c>
      <c r="D21" s="8" t="s">
        <v>63</v>
      </c>
      <c r="E21" s="23">
        <v>407</v>
      </c>
      <c r="F21" s="9">
        <v>1820</v>
      </c>
      <c r="G21" s="9">
        <f>=E21*F21</f>
        <v>740740</v>
      </c>
    </row>
    <row r="22" spans="1:7" x14ac:dyDescent="0.25">
      <c r="A22" s="8">
        <v>6</v>
      </c>
      <c r="B22" s="18" t="s">
        <v>61</v>
      </c>
      <c r="C22" s="18" t="s">
        <v>64</v>
      </c>
      <c r="D22" s="8" t="s">
        <v>63</v>
      </c>
      <c r="E22" s="23">
        <v>731</v>
      </c>
      <c r="F22" s="9">
        <v>474.42857142857144</v>
      </c>
      <c r="G22" s="9">
        <f>=E22*F22</f>
        <v>346807.28571428574</v>
      </c>
    </row>
    <row r="23" spans="1:7" x14ac:dyDescent="0.25">
      <c r="A23" s="8">
        <v>7</v>
      </c>
      <c r="B23" s="18" t="s">
        <v>61</v>
      </c>
      <c r="C23" s="18" t="s">
        <v>65</v>
      </c>
      <c r="D23" s="8" t="s">
        <v>63</v>
      </c>
      <c r="E23" s="23">
        <v>1009</v>
      </c>
      <c r="F23" s="9">
        <v>396.63703703703703</v>
      </c>
      <c r="G23" s="9">
        <f>=E23*F23</f>
        <v>400206.77037037036</v>
      </c>
    </row>
    <row r="24" spans="1:7" x14ac:dyDescent="0.25">
      <c r="A24" s="8">
        <v>8</v>
      </c>
      <c r="B24" s="18" t="s">
        <v>61</v>
      </c>
      <c r="C24" s="18" t="s">
        <v>66</v>
      </c>
      <c r="D24" s="8" t="s">
        <v>67</v>
      </c>
      <c r="E24" s="23">
        <v>202</v>
      </c>
      <c r="F24" s="9">
        <v>100</v>
      </c>
      <c r="G24" s="9">
        <f>=E24*F24</f>
        <v>20200</v>
      </c>
    </row>
    <row r="25" spans="1:7" x14ac:dyDescent="0.25">
      <c r="A25" s="8">
        <v>9</v>
      </c>
      <c r="B25" s="18" t="s">
        <v>68</v>
      </c>
      <c r="C25" s="18" t="s">
        <v>69</v>
      </c>
      <c r="D25" s="8" t="s">
        <v>70</v>
      </c>
      <c r="E25" s="23">
        <v>0.1475</v>
      </c>
      <c r="F25" s="9">
        <v>200000</v>
      </c>
      <c r="G25" s="9">
        <f>=E25*F25</f>
        <v>29500</v>
      </c>
    </row>
    <row r="26" spans="1:7" x14ac:dyDescent="0.25">
      <c r="A26" s="9" t="s">
        <v>55</v>
      </c>
      <c r="B26" s="9"/>
      <c r="C26" s="9"/>
      <c r="D26" s="9"/>
      <c r="E26" s="9"/>
      <c r="F26" s="9"/>
      <c r="G26" s="9">
        <f>=SUM(G17:G25)</f>
        <v>1785454.0560846562</v>
      </c>
    </row>
    <row r="27" spans="1:7" x14ac:dyDescent="0.25">
      <c r="A27" s="9" t="s">
        <v>56</v>
      </c>
      <c r="B27" s="9"/>
      <c r="C27" s="9"/>
      <c r="D27" s="9"/>
      <c r="E27" s="9"/>
      <c r="F27" s="9"/>
      <c r="G27" s="9">
        <f>=G26*'PROJECT'!$B$7</f>
        <v>178545.4056084656</v>
      </c>
    </row>
    <row r="28" spans="1:7" s="10" customFormat="1" x14ac:dyDescent="0.25">
      <c r="A28" s="24" t="s">
        <v>57</v>
      </c>
      <c r="B28" s="24"/>
      <c r="C28" s="24"/>
      <c r="D28" s="24"/>
      <c r="E28" s="24"/>
      <c r="F28" s="24"/>
      <c r="G28" s="24">
        <f>=G26+G27</f>
        <v>1963999.4616931216</v>
      </c>
    </row>
  </sheetData>
  <sheetProtection sheet="1" selectUnlockedCells="1" algorithmName="SHA-512" hashValue="evTap1ABxdSk0jYEN6yrStEKgTkDpDmFDLwLAJf2+0OigA3ISwKbZ4B3tXPzTr0+f2DI6jY+uCKoNUMZp6Sg+Q==" saltValue="P4jxPt+1XEsHimOkWAWkZQ==" spinCount="100000"/>
  <mergeCells count="9">
    <mergeCell ref="A1:G1"/>
    <mergeCell ref="A7:G7"/>
    <mergeCell ref="A11:F11"/>
    <mergeCell ref="A12:F12"/>
    <mergeCell ref="A13:F13"/>
    <mergeCell ref="A15:G15"/>
    <mergeCell ref="A26:F26"/>
    <mergeCell ref="A27:F27"/>
    <mergeCell ref="A28:F28"/>
  </mergeCells>
  <pageMargins left="0.25" right="0.25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2" customWidth="1"/>
    <col min="3" max="3" width="16" customWidth="1"/>
    <col min="4" max="4" width="38" customWidth="1"/>
    <col min="5" max="5" width="10" customWidth="1"/>
    <col min="6" max="6" width="18" style="1" customWidth="1"/>
    <col min="7" max="7" width="18" customWidth="1"/>
  </cols>
  <sheetData>
    <row r="1" ht="24" customHeight="1" spans="1:7" x14ac:dyDescent="0.25">
      <c r="A1" s="2" t="s">
        <v>71</v>
      </c>
      <c r="B1" s="2"/>
      <c r="C1" s="2"/>
      <c r="D1" s="2"/>
      <c r="E1" s="2"/>
      <c r="F1" s="2"/>
      <c r="G1" s="2"/>
    </row>
    <row r="3" spans="1:7" x14ac:dyDescent="0.25">
      <c r="A3" s="3" t="s">
        <v>1</v>
      </c>
      <c r="B3" s="4" t="s">
        <v>2</v>
      </c>
      <c r="F3" s="1"/>
      <c r="G3" s="14" t="s">
        <v>3</v>
      </c>
    </row>
    <row r="4" spans="1:6" x14ac:dyDescent="0.25">
      <c r="A4" s="3" t="s">
        <v>4</v>
      </c>
      <c r="B4" s="4" t="s">
        <v>5</v>
      </c>
      <c r="F4" s="1"/>
    </row>
    <row r="5" spans="1:6" x14ac:dyDescent="0.25">
      <c r="A5" s="3" t="s">
        <v>6</v>
      </c>
      <c r="B5" s="4" t="s">
        <v>7</v>
      </c>
      <c r="F5" s="1"/>
    </row>
    <row r="7" ht="30" customHeight="1" spans="1:7" x14ac:dyDescent="0.25">
      <c r="A7" s="6" t="s">
        <v>8</v>
      </c>
      <c r="B7" s="6" t="s">
        <v>46</v>
      </c>
      <c r="C7" s="6" t="s">
        <v>21</v>
      </c>
      <c r="D7" s="6" t="s">
        <v>47</v>
      </c>
      <c r="E7" s="6" t="s">
        <v>22</v>
      </c>
      <c r="F7" s="7" t="s">
        <v>49</v>
      </c>
      <c r="G7" s="6" t="s">
        <v>72</v>
      </c>
    </row>
    <row r="9" spans="1:7" x14ac:dyDescent="0.25">
      <c r="A9" s="8">
        <v>1</v>
      </c>
      <c r="B9" s="18" t="s">
        <v>51</v>
      </c>
      <c r="C9" s="18" t="s">
        <v>73</v>
      </c>
      <c r="D9" s="8" t="s">
        <v>52</v>
      </c>
      <c r="E9" s="8" t="s">
        <v>53</v>
      </c>
      <c r="F9" s="9">
        <v>176000</v>
      </c>
      <c r="G9" s="8" t="s">
        <v>74</v>
      </c>
    </row>
    <row r="10" spans="1:7" x14ac:dyDescent="0.25">
      <c r="A10" s="8">
        <v>2</v>
      </c>
      <c r="B10" s="18" t="s">
        <v>51</v>
      </c>
      <c r="C10" s="18" t="s">
        <v>73</v>
      </c>
      <c r="D10" s="8" t="s">
        <v>54</v>
      </c>
      <c r="E10" s="8" t="s">
        <v>53</v>
      </c>
      <c r="F10" s="9">
        <v>206000</v>
      </c>
      <c r="G10" s="8" t="s">
        <v>74</v>
      </c>
    </row>
    <row r="11" spans="1:7" x14ac:dyDescent="0.25">
      <c r="A11" s="8">
        <v>3</v>
      </c>
      <c r="B11" s="18" t="s">
        <v>51</v>
      </c>
      <c r="C11" s="18" t="s">
        <v>73</v>
      </c>
      <c r="D11" s="8" t="s">
        <v>52</v>
      </c>
      <c r="E11" s="8" t="s">
        <v>53</v>
      </c>
      <c r="F11" s="9">
        <v>176000</v>
      </c>
      <c r="G11" s="8" t="s">
        <v>74</v>
      </c>
    </row>
    <row r="12" spans="1:7" x14ac:dyDescent="0.25">
      <c r="A12" s="8">
        <v>4</v>
      </c>
      <c r="B12" s="18" t="s">
        <v>51</v>
      </c>
      <c r="C12" s="18" t="s">
        <v>73</v>
      </c>
      <c r="D12" s="8" t="s">
        <v>59</v>
      </c>
      <c r="E12" s="8" t="s">
        <v>53</v>
      </c>
      <c r="F12" s="9">
        <v>186000</v>
      </c>
      <c r="G12" s="8" t="s">
        <v>74</v>
      </c>
    </row>
    <row r="13" spans="1:7" x14ac:dyDescent="0.25">
      <c r="A13" s="8">
        <v>5</v>
      </c>
      <c r="B13" s="18" t="s">
        <v>51</v>
      </c>
      <c r="C13" s="18" t="s">
        <v>73</v>
      </c>
      <c r="D13" s="8" t="s">
        <v>60</v>
      </c>
      <c r="E13" s="8" t="s">
        <v>53</v>
      </c>
      <c r="F13" s="9">
        <v>196000</v>
      </c>
      <c r="G13" s="8" t="s">
        <v>74</v>
      </c>
    </row>
    <row r="14" spans="1:7" x14ac:dyDescent="0.25">
      <c r="A14" s="8">
        <v>6</v>
      </c>
      <c r="B14" s="18" t="s">
        <v>51</v>
      </c>
      <c r="C14" s="18" t="s">
        <v>73</v>
      </c>
      <c r="D14" s="8" t="s">
        <v>54</v>
      </c>
      <c r="E14" s="8" t="s">
        <v>53</v>
      </c>
      <c r="F14" s="9">
        <v>206000</v>
      </c>
      <c r="G14" s="8" t="s">
        <v>74</v>
      </c>
    </row>
    <row r="15" spans="1:7" x14ac:dyDescent="0.25">
      <c r="A15" s="8">
        <v>7</v>
      </c>
      <c r="B15" s="18" t="s">
        <v>61</v>
      </c>
      <c r="C15" s="18" t="s">
        <v>73</v>
      </c>
      <c r="D15" s="8" t="s">
        <v>62</v>
      </c>
      <c r="E15" s="8" t="s">
        <v>63</v>
      </c>
      <c r="F15" s="9">
        <v>1820</v>
      </c>
      <c r="G15" s="8" t="s">
        <v>74</v>
      </c>
    </row>
    <row r="16" spans="1:7" x14ac:dyDescent="0.25">
      <c r="A16" s="8">
        <v>8</v>
      </c>
      <c r="B16" s="18" t="s">
        <v>61</v>
      </c>
      <c r="C16" s="18" t="s">
        <v>73</v>
      </c>
      <c r="D16" s="8" t="s">
        <v>64</v>
      </c>
      <c r="E16" s="8" t="s">
        <v>63</v>
      </c>
      <c r="F16" s="9">
        <v>474.42857142857144</v>
      </c>
      <c r="G16" s="8" t="s">
        <v>74</v>
      </c>
    </row>
    <row r="17" spans="1:7" x14ac:dyDescent="0.25">
      <c r="A17" s="8">
        <v>9</v>
      </c>
      <c r="B17" s="18" t="s">
        <v>61</v>
      </c>
      <c r="C17" s="18" t="s">
        <v>73</v>
      </c>
      <c r="D17" s="8" t="s">
        <v>65</v>
      </c>
      <c r="E17" s="8" t="s">
        <v>63</v>
      </c>
      <c r="F17" s="9">
        <v>396.63703703703703</v>
      </c>
      <c r="G17" s="8" t="s">
        <v>74</v>
      </c>
    </row>
    <row r="18" spans="1:7" x14ac:dyDescent="0.25">
      <c r="A18" s="8">
        <v>10</v>
      </c>
      <c r="B18" s="18" t="s">
        <v>61</v>
      </c>
      <c r="C18" s="18" t="s">
        <v>73</v>
      </c>
      <c r="D18" s="8" t="s">
        <v>66</v>
      </c>
      <c r="E18" s="8" t="s">
        <v>67</v>
      </c>
      <c r="F18" s="9">
        <v>100</v>
      </c>
      <c r="G18" s="8" t="s">
        <v>74</v>
      </c>
    </row>
    <row r="19" spans="1:7" x14ac:dyDescent="0.25">
      <c r="A19" s="8">
        <v>11</v>
      </c>
      <c r="B19" s="18" t="s">
        <v>68</v>
      </c>
      <c r="C19" s="18" t="s">
        <v>73</v>
      </c>
      <c r="D19" s="8" t="s">
        <v>69</v>
      </c>
      <c r="E19" s="8" t="s">
        <v>70</v>
      </c>
      <c r="F19" s="9">
        <v>200000</v>
      </c>
      <c r="G19" s="8" t="s">
        <v>74</v>
      </c>
    </row>
  </sheetData>
  <sheetProtection sheet="1" selectUnlockedCells="1" algorithmName="SHA-512" hashValue="mIHf9n+fLCRau74gPgVnx8fXdZ4HQBphFkW2Pn5eXt8iWpt/6PsKjAjoT+kGpUmSlkQHw7ZcfA5CLmk+AO55EA==" saltValue="B5PDVY2k3zIHCQl/vXbTOg==" spinCount="100000"/>
  <mergeCells count="1">
    <mergeCell ref="A1:G1"/>
  </mergeCells>
  <pageMargins left="0.25" right="0.25" top="0.5" bottom="0.5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sheetData>
    <row r="1" spans="1:2" x14ac:dyDescent="0.25">
      <c r="A1" s="25" t="s">
        <v>75</v>
      </c>
      <c r="B1" s="25" t="s">
        <v>76</v>
      </c>
    </row>
    <row r="2" spans="1:2" x14ac:dyDescent="0.25">
      <c r="A2" s="25" t="s">
        <v>77</v>
      </c>
      <c r="B2" s="25" t="s">
        <v>78</v>
      </c>
    </row>
    <row r="3" spans="1:2" x14ac:dyDescent="0.25">
      <c r="A3" s="25" t="s">
        <v>79</v>
      </c>
      <c r="B3" s="25" t="s">
        <v>80</v>
      </c>
    </row>
    <row r="4" spans="1:2" x14ac:dyDescent="0.25">
      <c r="A4" s="25" t="s">
        <v>81</v>
      </c>
      <c r="B4" s="25" t="s">
        <v>82</v>
      </c>
    </row>
    <row r="5" spans="1:2" x14ac:dyDescent="0.25">
      <c r="A5" s="25" t="s">
        <v>83</v>
      </c>
      <c r="B5" s="25" t="s">
        <v>84</v>
      </c>
    </row>
    <row r="6" spans="1:2" x14ac:dyDescent="0.25">
      <c r="A6" s="25" t="s">
        <v>85</v>
      </c>
      <c r="B6" s="25" t="s">
        <v>86</v>
      </c>
    </row>
    <row r="7" spans="1:2" x14ac:dyDescent="0.25">
      <c r="A7" s="25" t="s">
        <v>87</v>
      </c>
      <c r="B7" s="25">
        <v>0.1</v>
      </c>
    </row>
    <row r="8" spans="1:2" x14ac:dyDescent="0.25">
      <c r="A8" s="25" t="s">
        <v>88</v>
      </c>
      <c r="B8" s="25">
        <v>0.11</v>
      </c>
    </row>
    <row r="9" spans="1:2" x14ac:dyDescent="0.25">
      <c r="A9" s="25" t="s">
        <v>89</v>
      </c>
      <c r="B9" s="25">
        <v>1000</v>
      </c>
    </row>
    <row r="10" spans="1:2" x14ac:dyDescent="0.25">
      <c r="A10" s="25" t="s">
        <v>90</v>
      </c>
      <c r="B10" s="25" t="s">
        <v>91</v>
      </c>
    </row>
    <row r="11" spans="1:2" x14ac:dyDescent="0.25">
      <c r="A11" s="25" t="s">
        <v>92</v>
      </c>
      <c r="B11" s="25" t="s">
        <v>93</v>
      </c>
    </row>
    <row r="14" spans="1:8" x14ac:dyDescent="0.25">
      <c r="A14" s="25" t="s">
        <v>94</v>
      </c>
      <c r="B14" s="25" t="s">
        <v>95</v>
      </c>
      <c r="C14" s="25" t="s">
        <v>96</v>
      </c>
      <c r="D14" s="25" t="s">
        <v>97</v>
      </c>
      <c r="E14" s="25" t="s">
        <v>98</v>
      </c>
      <c r="F14" s="25" t="s">
        <v>99</v>
      </c>
      <c r="G14" s="25" t="s">
        <v>100</v>
      </c>
      <c r="H14" s="25" t="s">
        <v>101</v>
      </c>
    </row>
    <row r="15" spans="1:8" x14ac:dyDescent="0.25">
      <c r="A15" s="25" t="s">
        <v>102</v>
      </c>
      <c r="B15" s="25" t="s">
        <v>103</v>
      </c>
      <c r="C15" s="25" t="s">
        <v>104</v>
      </c>
      <c r="D15" s="25" t="s">
        <v>104</v>
      </c>
      <c r="E15" s="25" t="s">
        <v>105</v>
      </c>
      <c r="F15" s="25" t="s">
        <v>106</v>
      </c>
      <c r="G15" s="25" t="s">
        <v>107</v>
      </c>
      <c r="H15" s="25" t="s">
        <v>108</v>
      </c>
    </row>
    <row r="16" spans="1:8" x14ac:dyDescent="0.25">
      <c r="A16" s="25" t="s">
        <v>109</v>
      </c>
      <c r="B16" s="25" t="s">
        <v>110</v>
      </c>
      <c r="C16" s="25" t="s">
        <v>104</v>
      </c>
      <c r="D16" s="25" t="s">
        <v>104</v>
      </c>
      <c r="E16" s="25" t="s">
        <v>111</v>
      </c>
      <c r="F16" s="25" t="s">
        <v>106</v>
      </c>
      <c r="G16" s="25" t="s">
        <v>107</v>
      </c>
      <c r="H16" s="25" t="s">
        <v>108</v>
      </c>
    </row>
  </sheetData>
  <sheetProtection sheet="1" selectUnlockedCells="1" algorithmName="SHA-512" hashValue="LBhFG5DmX4iy5zgUEF+ofgGlL6T6xcsCTbO68wuDxfsJJq2fFBhEd1lMmDAHuGMQuI03Rf7eQFOjOStF5C9nNA==" saltValue="lsAtcOrnXXCZVR0qivdmRA==" spinCount="100000"/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sheetData>
    <row r="1" spans="1:10" x14ac:dyDescent="0.25">
      <c r="A1" s="25" t="s">
        <v>112</v>
      </c>
      <c r="B1" s="25" t="s">
        <v>113</v>
      </c>
      <c r="C1" s="25" t="s">
        <v>114</v>
      </c>
      <c r="D1" s="25" t="s">
        <v>115</v>
      </c>
      <c r="E1" s="25" t="s">
        <v>116</v>
      </c>
      <c r="F1" s="25" t="s">
        <v>117</v>
      </c>
      <c r="G1" s="25" t="s">
        <v>118</v>
      </c>
      <c r="H1" s="25" t="s">
        <v>119</v>
      </c>
      <c r="I1" s="25" t="s">
        <v>120</v>
      </c>
      <c r="J1" s="25" t="s">
        <v>121</v>
      </c>
    </row>
    <row r="2" spans="1:10" x14ac:dyDescent="0.25">
      <c r="A2" s="25" t="s">
        <v>122</v>
      </c>
      <c r="B2" s="25" t="s">
        <v>123</v>
      </c>
      <c r="C2" s="25" t="s">
        <v>124</v>
      </c>
      <c r="D2" s="25" t="s">
        <v>125</v>
      </c>
      <c r="E2" s="25" t="s">
        <v>51</v>
      </c>
      <c r="F2" s="25">
        <v>1</v>
      </c>
      <c r="G2" s="25">
        <v>0.75</v>
      </c>
      <c r="H2" s="25">
        <v>176000</v>
      </c>
      <c r="I2" s="25">
        <v>132000</v>
      </c>
      <c r="J2" s="25" t="s">
        <v>126</v>
      </c>
    </row>
    <row r="3" spans="1:10" x14ac:dyDescent="0.25">
      <c r="A3" s="25" t="s">
        <v>127</v>
      </c>
      <c r="B3" s="25" t="s">
        <v>123</v>
      </c>
      <c r="C3" s="25" t="s">
        <v>124</v>
      </c>
      <c r="D3" s="25" t="s">
        <v>128</v>
      </c>
      <c r="E3" s="25" t="s">
        <v>51</v>
      </c>
      <c r="F3" s="25">
        <v>2</v>
      </c>
      <c r="G3" s="25">
        <v>0.038</v>
      </c>
      <c r="H3" s="25">
        <v>206000</v>
      </c>
      <c r="I3" s="25">
        <v>7828</v>
      </c>
      <c r="J3" s="25" t="s">
        <v>126</v>
      </c>
    </row>
    <row r="4" spans="1:10" x14ac:dyDescent="0.25">
      <c r="A4" s="25" t="s">
        <v>129</v>
      </c>
      <c r="B4" s="25" t="s">
        <v>130</v>
      </c>
      <c r="C4" s="25" t="s">
        <v>131</v>
      </c>
      <c r="D4" s="25" t="s">
        <v>132</v>
      </c>
      <c r="E4" s="25" t="s">
        <v>51</v>
      </c>
      <c r="F4" s="25">
        <v>1</v>
      </c>
      <c r="G4" s="25">
        <v>1</v>
      </c>
      <c r="H4" s="25">
        <v>176000</v>
      </c>
      <c r="I4" s="25">
        <v>176000</v>
      </c>
      <c r="J4" s="25" t="s">
        <v>133</v>
      </c>
    </row>
    <row r="5" spans="1:10" x14ac:dyDescent="0.25">
      <c r="A5" s="25" t="s">
        <v>134</v>
      </c>
      <c r="B5" s="25" t="s">
        <v>130</v>
      </c>
      <c r="C5" s="25" t="s">
        <v>131</v>
      </c>
      <c r="D5" s="25" t="s">
        <v>135</v>
      </c>
      <c r="E5" s="25" t="s">
        <v>51</v>
      </c>
      <c r="F5" s="25">
        <v>2</v>
      </c>
      <c r="G5" s="25">
        <v>0.25</v>
      </c>
      <c r="H5" s="25">
        <v>186000</v>
      </c>
      <c r="I5" s="25">
        <v>46500</v>
      </c>
      <c r="J5" s="25" t="s">
        <v>133</v>
      </c>
    </row>
    <row r="6" spans="1:10" x14ac:dyDescent="0.25">
      <c r="A6" s="25" t="s">
        <v>136</v>
      </c>
      <c r="B6" s="25" t="s">
        <v>130</v>
      </c>
      <c r="C6" s="25" t="s">
        <v>131</v>
      </c>
      <c r="D6" s="25" t="s">
        <v>137</v>
      </c>
      <c r="E6" s="25" t="s">
        <v>51</v>
      </c>
      <c r="F6" s="25">
        <v>3</v>
      </c>
      <c r="G6" s="25">
        <v>0.025</v>
      </c>
      <c r="H6" s="25">
        <v>196000</v>
      </c>
      <c r="I6" s="25">
        <v>4900</v>
      </c>
      <c r="J6" s="25" t="s">
        <v>133</v>
      </c>
    </row>
    <row r="7" spans="1:10" x14ac:dyDescent="0.25">
      <c r="A7" s="25" t="s">
        <v>138</v>
      </c>
      <c r="B7" s="25" t="s">
        <v>130</v>
      </c>
      <c r="C7" s="25" t="s">
        <v>131</v>
      </c>
      <c r="D7" s="25" t="s">
        <v>139</v>
      </c>
      <c r="E7" s="25" t="s">
        <v>51</v>
      </c>
      <c r="F7" s="25">
        <v>4</v>
      </c>
      <c r="G7" s="25">
        <v>0.1</v>
      </c>
      <c r="H7" s="25">
        <v>206000</v>
      </c>
      <c r="I7" s="25">
        <v>20600</v>
      </c>
      <c r="J7" s="25" t="s">
        <v>133</v>
      </c>
    </row>
    <row r="8" spans="1:10" x14ac:dyDescent="0.25">
      <c r="A8" s="25" t="s">
        <v>140</v>
      </c>
      <c r="B8" s="25" t="s">
        <v>130</v>
      </c>
      <c r="C8" s="25" t="s">
        <v>131</v>
      </c>
      <c r="D8" s="25" t="s">
        <v>141</v>
      </c>
      <c r="E8" s="25" t="s">
        <v>61</v>
      </c>
      <c r="F8" s="25">
        <v>5</v>
      </c>
      <c r="G8" s="25">
        <v>407</v>
      </c>
      <c r="H8" s="25">
        <v>1820</v>
      </c>
      <c r="I8" s="25">
        <v>740740</v>
      </c>
      <c r="J8" s="25" t="s">
        <v>133</v>
      </c>
    </row>
    <row r="9" spans="1:10" x14ac:dyDescent="0.25">
      <c r="A9" s="25" t="s">
        <v>142</v>
      </c>
      <c r="B9" s="25" t="s">
        <v>130</v>
      </c>
      <c r="C9" s="25" t="s">
        <v>131</v>
      </c>
      <c r="D9" s="25" t="s">
        <v>143</v>
      </c>
      <c r="E9" s="25" t="s">
        <v>61</v>
      </c>
      <c r="F9" s="25">
        <v>6</v>
      </c>
      <c r="G9" s="25">
        <v>731</v>
      </c>
      <c r="H9" s="25">
        <v>474.42857142857144</v>
      </c>
      <c r="I9" s="25">
        <v>346807.28571428574</v>
      </c>
      <c r="J9" s="25" t="s">
        <v>133</v>
      </c>
    </row>
    <row r="10" spans="1:10" x14ac:dyDescent="0.25">
      <c r="A10" s="25" t="s">
        <v>144</v>
      </c>
      <c r="B10" s="25" t="s">
        <v>130</v>
      </c>
      <c r="C10" s="25" t="s">
        <v>131</v>
      </c>
      <c r="D10" s="25" t="s">
        <v>145</v>
      </c>
      <c r="E10" s="25" t="s">
        <v>61</v>
      </c>
      <c r="F10" s="25">
        <v>7</v>
      </c>
      <c r="G10" s="25">
        <v>1009</v>
      </c>
      <c r="H10" s="25">
        <v>396.63703703703703</v>
      </c>
      <c r="I10" s="25">
        <v>400206.77037037036</v>
      </c>
      <c r="J10" s="25" t="s">
        <v>133</v>
      </c>
    </row>
    <row r="11" spans="1:10" x14ac:dyDescent="0.25">
      <c r="A11" s="25" t="s">
        <v>146</v>
      </c>
      <c r="B11" s="25" t="s">
        <v>130</v>
      </c>
      <c r="C11" s="25" t="s">
        <v>131</v>
      </c>
      <c r="D11" s="25" t="s">
        <v>147</v>
      </c>
      <c r="E11" s="25" t="s">
        <v>61</v>
      </c>
      <c r="F11" s="25">
        <v>8</v>
      </c>
      <c r="G11" s="25">
        <v>202</v>
      </c>
      <c r="H11" s="25">
        <v>100</v>
      </c>
      <c r="I11" s="25">
        <v>20200</v>
      </c>
      <c r="J11" s="25" t="s">
        <v>133</v>
      </c>
    </row>
    <row r="12" spans="1:10" x14ac:dyDescent="0.25">
      <c r="A12" s="25" t="s">
        <v>148</v>
      </c>
      <c r="B12" s="25" t="s">
        <v>130</v>
      </c>
      <c r="C12" s="25" t="s">
        <v>131</v>
      </c>
      <c r="D12" s="25" t="s">
        <v>149</v>
      </c>
      <c r="E12" s="25" t="s">
        <v>68</v>
      </c>
      <c r="F12" s="25">
        <v>9</v>
      </c>
      <c r="G12" s="25">
        <v>0.1475</v>
      </c>
      <c r="H12" s="25">
        <v>200000</v>
      </c>
      <c r="I12" s="25">
        <v>29500</v>
      </c>
      <c r="J12" s="25" t="s">
        <v>133</v>
      </c>
    </row>
  </sheetData>
  <sheetProtection sheet="1" selectUnlockedCells="1" algorithmName="SHA-512" hashValue="Wm22Budfobr/uNT3MRTSi6HgaxiT98M4FSBgokK34IskAQkOm5Dne2rV4pOkfivCq6TRVQmkmYhj59tbyP7kTA==" saltValue="DUkPBTpXpk20ShkrCZggaw==" spinCount="10000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s="25" t="s">
        <v>150</v>
      </c>
      <c r="B1" s="25" t="s">
        <v>151</v>
      </c>
      <c r="C1" s="25" t="s">
        <v>152</v>
      </c>
      <c r="D1" s="25" t="s">
        <v>153</v>
      </c>
      <c r="E1" s="25" t="s">
        <v>154</v>
      </c>
      <c r="F1" s="25" t="s">
        <v>155</v>
      </c>
      <c r="G1" s="25" t="s">
        <v>114</v>
      </c>
      <c r="H1" s="25" t="s">
        <v>94</v>
      </c>
      <c r="I1" s="25" t="s">
        <v>156</v>
      </c>
      <c r="J1" s="25" t="s">
        <v>157</v>
      </c>
      <c r="K1" s="25" t="s">
        <v>158</v>
      </c>
    </row>
    <row r="2" spans="1:11" x14ac:dyDescent="0.25">
      <c r="A2" s="25">
        <v>1</v>
      </c>
      <c r="B2" s="25" t="s">
        <v>105</v>
      </c>
      <c r="C2" s="25" t="s">
        <v>159</v>
      </c>
      <c r="D2" s="25" t="s">
        <v>12</v>
      </c>
      <c r="E2" s="25" t="s">
        <v>104</v>
      </c>
      <c r="F2" s="25" t="s">
        <v>104</v>
      </c>
      <c r="G2" s="25" t="s">
        <v>124</v>
      </c>
      <c r="H2" s="25" t="s">
        <v>102</v>
      </c>
      <c r="I2" s="25">
        <v>1</v>
      </c>
      <c r="J2" s="25">
        <v>153810.8</v>
      </c>
      <c r="K2" s="25">
        <v>153810.8</v>
      </c>
    </row>
    <row r="3" spans="1:11" x14ac:dyDescent="0.25">
      <c r="A3" s="25">
        <v>2</v>
      </c>
      <c r="B3" s="25" t="s">
        <v>111</v>
      </c>
      <c r="C3" s="25" t="s">
        <v>160</v>
      </c>
      <c r="D3" s="25" t="s">
        <v>14</v>
      </c>
      <c r="E3" s="25" t="s">
        <v>104</v>
      </c>
      <c r="F3" s="25" t="s">
        <v>104</v>
      </c>
      <c r="G3" s="25" t="s">
        <v>131</v>
      </c>
      <c r="H3" s="25" t="s">
        <v>109</v>
      </c>
      <c r="I3" s="25">
        <v>1</v>
      </c>
      <c r="J3" s="25">
        <v>1963999.4616931216</v>
      </c>
      <c r="K3" s="25">
        <v>1963999.4616931216</v>
      </c>
    </row>
  </sheetData>
  <sheetProtection sheet="1" selectUnlockedCells="1" algorithmName="SHA-512" hashValue="C6HEJTI6n4Xpf9BgBSC4dR9ZBsXTWfBUv3eaC3O6j8AriE3AS3eqFhAWsfW/AZGTLf19jgaJsfOzIadgnmq+MA==" saltValue="ax+bkYERWNaXPCc8UBqVfQ==" spinCount="10000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25" t="s">
        <v>161</v>
      </c>
      <c r="B1" s="25" t="s">
        <v>162</v>
      </c>
      <c r="C1" s="25" t="s">
        <v>163</v>
      </c>
      <c r="D1" s="25" t="s">
        <v>81</v>
      </c>
    </row>
    <row r="2" spans="1:4" x14ac:dyDescent="0.25">
      <c r="A2" s="25" t="s">
        <v>164</v>
      </c>
      <c r="B2" s="25" t="s">
        <v>165</v>
      </c>
      <c r="C2" s="25" t="s">
        <v>166</v>
      </c>
      <c r="D2" s="25" t="s">
        <v>82</v>
      </c>
    </row>
    <row r="3" spans="1:4" x14ac:dyDescent="0.25">
      <c r="A3" s="25" t="s">
        <v>167</v>
      </c>
      <c r="B3" s="25" t="s">
        <v>165</v>
      </c>
      <c r="C3" s="25" t="s">
        <v>168</v>
      </c>
      <c r="D3" s="25" t="s">
        <v>82</v>
      </c>
    </row>
    <row r="4" spans="1:4" x14ac:dyDescent="0.25">
      <c r="A4" s="25" t="s">
        <v>169</v>
      </c>
      <c r="B4" s="25" t="s">
        <v>165</v>
      </c>
      <c r="C4" s="25" t="s">
        <v>170</v>
      </c>
      <c r="D4" s="25" t="s">
        <v>82</v>
      </c>
    </row>
  </sheetData>
  <sheetProtection sheet="1" selectUnlockedCells="1" algorithmName="SHA-512" hashValue="AddWSNHFuKg2HsiEAcU7vtjFcgvHckr2y15OoVmebKzBMa8r24UkXKdYFX8Ym2OfbsIW3BMYwUmprAFWivrwUg==" saltValue="dL3EqujYeEgMyNVzJiycSQ==" spinCount="10000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REKAP</vt:lpstr>
      <vt:lpstr>RAB</vt:lpstr>
      <vt:lpstr>BV</vt:lpstr>
      <vt:lpstr>ANALISA HSP</vt:lpstr>
      <vt:lpstr>HARGA DASAR</vt:lpstr>
      <vt:lpstr>PROJECT</vt:lpstr>
      <vt:lpstr>AHSP_COMPONENTS</vt:lpstr>
      <vt:lpstr>HSP_MAPPING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 AI Office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